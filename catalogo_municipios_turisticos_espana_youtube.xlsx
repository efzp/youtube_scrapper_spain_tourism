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duar\Downloads\youtube_scrapper\"/>
    </mc:Choice>
  </mc:AlternateContent>
  <xr:revisionPtr revIDLastSave="0" documentId="8_{45D9157C-D434-48DD-AEDF-1D41FB17A60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Lugares" sheetId="1" r:id="rId1"/>
    <sheet name="Listas" sheetId="2" state="hidden" r:id="rId2"/>
    <sheet name="Resumen" sheetId="3" r:id="rId3"/>
    <sheet name="Instruccione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B8" i="3"/>
  <c r="B5" i="3"/>
  <c r="B7" i="3" s="1"/>
  <c r="B4" i="3"/>
  <c r="L123" i="1"/>
  <c r="K123" i="1"/>
  <c r="J123" i="1"/>
  <c r="I123" i="1"/>
  <c r="H123" i="1"/>
  <c r="B123" i="1"/>
  <c r="L122" i="1"/>
  <c r="K122" i="1"/>
  <c r="J122" i="1"/>
  <c r="I122" i="1"/>
  <c r="H122" i="1"/>
  <c r="B122" i="1"/>
  <c r="L121" i="1"/>
  <c r="K121" i="1"/>
  <c r="J121" i="1"/>
  <c r="I121" i="1"/>
  <c r="H121" i="1"/>
  <c r="B121" i="1"/>
  <c r="L120" i="1"/>
  <c r="K120" i="1"/>
  <c r="J120" i="1"/>
  <c r="I120" i="1"/>
  <c r="H120" i="1"/>
  <c r="B120" i="1"/>
  <c r="L119" i="1"/>
  <c r="K119" i="1"/>
  <c r="J119" i="1"/>
  <c r="I119" i="1"/>
  <c r="H119" i="1"/>
  <c r="B119" i="1"/>
  <c r="L118" i="1"/>
  <c r="K118" i="1"/>
  <c r="J118" i="1"/>
  <c r="I118" i="1"/>
  <c r="H118" i="1"/>
  <c r="B118" i="1"/>
  <c r="L117" i="1"/>
  <c r="K117" i="1"/>
  <c r="J117" i="1"/>
  <c r="I117" i="1"/>
  <c r="H117" i="1"/>
  <c r="B117" i="1"/>
  <c r="L116" i="1"/>
  <c r="K116" i="1"/>
  <c r="J116" i="1"/>
  <c r="I116" i="1"/>
  <c r="H116" i="1"/>
  <c r="B116" i="1"/>
  <c r="L115" i="1"/>
  <c r="K115" i="1"/>
  <c r="J115" i="1"/>
  <c r="I115" i="1"/>
  <c r="H115" i="1"/>
  <c r="B115" i="1"/>
  <c r="L114" i="1"/>
  <c r="K114" i="1"/>
  <c r="J114" i="1"/>
  <c r="I114" i="1"/>
  <c r="H114" i="1"/>
  <c r="B114" i="1"/>
  <c r="L113" i="1"/>
  <c r="K113" i="1"/>
  <c r="J113" i="1"/>
  <c r="I113" i="1"/>
  <c r="H113" i="1"/>
  <c r="B113" i="1"/>
  <c r="L112" i="1"/>
  <c r="K112" i="1"/>
  <c r="J112" i="1"/>
  <c r="I112" i="1"/>
  <c r="H112" i="1"/>
  <c r="B112" i="1"/>
  <c r="L111" i="1"/>
  <c r="K111" i="1"/>
  <c r="J111" i="1"/>
  <c r="I111" i="1"/>
  <c r="H111" i="1"/>
  <c r="B111" i="1"/>
  <c r="L110" i="1"/>
  <c r="K110" i="1"/>
  <c r="J110" i="1"/>
  <c r="I110" i="1"/>
  <c r="H110" i="1"/>
  <c r="B110" i="1"/>
  <c r="L109" i="1"/>
  <c r="K109" i="1"/>
  <c r="J109" i="1"/>
  <c r="I109" i="1"/>
  <c r="H109" i="1"/>
  <c r="B109" i="1"/>
  <c r="L108" i="1"/>
  <c r="K108" i="1"/>
  <c r="J108" i="1"/>
  <c r="I108" i="1"/>
  <c r="H108" i="1"/>
  <c r="B108" i="1"/>
  <c r="L107" i="1"/>
  <c r="K107" i="1"/>
  <c r="J107" i="1"/>
  <c r="I107" i="1"/>
  <c r="H107" i="1"/>
  <c r="B107" i="1"/>
  <c r="L106" i="1"/>
  <c r="K106" i="1"/>
  <c r="J106" i="1"/>
  <c r="I106" i="1"/>
  <c r="H106" i="1"/>
  <c r="B106" i="1"/>
  <c r="L105" i="1"/>
  <c r="K105" i="1"/>
  <c r="J105" i="1"/>
  <c r="I105" i="1"/>
  <c r="H105" i="1"/>
  <c r="B105" i="1"/>
  <c r="L104" i="1"/>
  <c r="K104" i="1"/>
  <c r="J104" i="1"/>
  <c r="I104" i="1"/>
  <c r="H104" i="1"/>
  <c r="B104" i="1"/>
  <c r="L103" i="1"/>
  <c r="K103" i="1"/>
  <c r="J103" i="1"/>
  <c r="I103" i="1"/>
  <c r="H103" i="1"/>
  <c r="B103" i="1"/>
  <c r="L102" i="1"/>
  <c r="K102" i="1"/>
  <c r="J102" i="1"/>
  <c r="I102" i="1"/>
  <c r="H102" i="1"/>
  <c r="B102" i="1"/>
  <c r="L101" i="1"/>
  <c r="K101" i="1"/>
  <c r="J101" i="1"/>
  <c r="I101" i="1"/>
  <c r="H101" i="1"/>
  <c r="B101" i="1"/>
  <c r="L100" i="1"/>
  <c r="K100" i="1"/>
  <c r="J100" i="1"/>
  <c r="I100" i="1"/>
  <c r="H100" i="1"/>
  <c r="B100" i="1"/>
  <c r="L99" i="1"/>
  <c r="K99" i="1"/>
  <c r="J99" i="1"/>
  <c r="I99" i="1"/>
  <c r="H99" i="1"/>
  <c r="B99" i="1"/>
  <c r="L98" i="1"/>
  <c r="K98" i="1"/>
  <c r="J98" i="1"/>
  <c r="I98" i="1"/>
  <c r="H98" i="1"/>
  <c r="B98" i="1"/>
  <c r="L97" i="1"/>
  <c r="K97" i="1"/>
  <c r="J97" i="1"/>
  <c r="I97" i="1"/>
  <c r="H97" i="1"/>
  <c r="B97" i="1"/>
  <c r="L96" i="1"/>
  <c r="K96" i="1"/>
  <c r="J96" i="1"/>
  <c r="I96" i="1"/>
  <c r="H96" i="1"/>
  <c r="B96" i="1"/>
  <c r="L95" i="1"/>
  <c r="K95" i="1"/>
  <c r="J95" i="1"/>
  <c r="I95" i="1"/>
  <c r="H95" i="1"/>
  <c r="B95" i="1"/>
  <c r="L94" i="1"/>
  <c r="K94" i="1"/>
  <c r="J94" i="1"/>
  <c r="I94" i="1"/>
  <c r="H94" i="1"/>
  <c r="B94" i="1"/>
  <c r="L93" i="1"/>
  <c r="K93" i="1"/>
  <c r="J93" i="1"/>
  <c r="I93" i="1"/>
  <c r="H93" i="1"/>
  <c r="B93" i="1"/>
  <c r="L92" i="1"/>
  <c r="K92" i="1"/>
  <c r="J92" i="1"/>
  <c r="I92" i="1"/>
  <c r="H92" i="1"/>
  <c r="B92" i="1"/>
  <c r="L91" i="1"/>
  <c r="K91" i="1"/>
  <c r="J91" i="1"/>
  <c r="I91" i="1"/>
  <c r="H91" i="1"/>
  <c r="B91" i="1"/>
  <c r="L90" i="1"/>
  <c r="K90" i="1"/>
  <c r="J90" i="1"/>
  <c r="I90" i="1"/>
  <c r="H90" i="1"/>
  <c r="B90" i="1"/>
  <c r="L89" i="1"/>
  <c r="K89" i="1"/>
  <c r="J89" i="1"/>
  <c r="I89" i="1"/>
  <c r="H89" i="1"/>
  <c r="B89" i="1"/>
  <c r="L88" i="1"/>
  <c r="K88" i="1"/>
  <c r="J88" i="1"/>
  <c r="I88" i="1"/>
  <c r="H88" i="1"/>
  <c r="B88" i="1"/>
  <c r="L87" i="1"/>
  <c r="K87" i="1"/>
  <c r="J87" i="1"/>
  <c r="I87" i="1"/>
  <c r="H87" i="1"/>
  <c r="B87" i="1"/>
  <c r="L86" i="1"/>
  <c r="K86" i="1"/>
  <c r="J86" i="1"/>
  <c r="I86" i="1"/>
  <c r="H86" i="1"/>
  <c r="B86" i="1"/>
  <c r="L85" i="1"/>
  <c r="K85" i="1"/>
  <c r="J85" i="1"/>
  <c r="I85" i="1"/>
  <c r="H85" i="1"/>
  <c r="B85" i="1"/>
  <c r="L84" i="1"/>
  <c r="K84" i="1"/>
  <c r="J84" i="1"/>
  <c r="I84" i="1"/>
  <c r="H84" i="1"/>
  <c r="B84" i="1"/>
  <c r="L83" i="1"/>
  <c r="K83" i="1"/>
  <c r="J83" i="1"/>
  <c r="I83" i="1"/>
  <c r="H83" i="1"/>
  <c r="B83" i="1"/>
  <c r="L82" i="1"/>
  <c r="K82" i="1"/>
  <c r="J82" i="1"/>
  <c r="I82" i="1"/>
  <c r="H82" i="1"/>
  <c r="B82" i="1"/>
  <c r="L81" i="1"/>
  <c r="K81" i="1"/>
  <c r="J81" i="1"/>
  <c r="I81" i="1"/>
  <c r="H81" i="1"/>
  <c r="B81" i="1"/>
  <c r="L80" i="1"/>
  <c r="K80" i="1"/>
  <c r="J80" i="1"/>
  <c r="I80" i="1"/>
  <c r="H80" i="1"/>
  <c r="B80" i="1"/>
  <c r="L79" i="1"/>
  <c r="K79" i="1"/>
  <c r="J79" i="1"/>
  <c r="I79" i="1"/>
  <c r="H79" i="1"/>
  <c r="B79" i="1"/>
  <c r="L78" i="1"/>
  <c r="K78" i="1"/>
  <c r="J78" i="1"/>
  <c r="I78" i="1"/>
  <c r="H78" i="1"/>
  <c r="B78" i="1"/>
  <c r="L77" i="1"/>
  <c r="K77" i="1"/>
  <c r="J77" i="1"/>
  <c r="I77" i="1"/>
  <c r="H77" i="1"/>
  <c r="B77" i="1"/>
  <c r="L76" i="1"/>
  <c r="K76" i="1"/>
  <c r="J76" i="1"/>
  <c r="I76" i="1"/>
  <c r="H76" i="1"/>
  <c r="B76" i="1"/>
  <c r="L75" i="1"/>
  <c r="K75" i="1"/>
  <c r="J75" i="1"/>
  <c r="I75" i="1"/>
  <c r="H75" i="1"/>
  <c r="B75" i="1"/>
  <c r="L74" i="1"/>
  <c r="K74" i="1"/>
  <c r="J74" i="1"/>
  <c r="I74" i="1"/>
  <c r="H74" i="1"/>
  <c r="B74" i="1"/>
  <c r="L73" i="1"/>
  <c r="K73" i="1"/>
  <c r="J73" i="1"/>
  <c r="I73" i="1"/>
  <c r="H73" i="1"/>
  <c r="B73" i="1"/>
  <c r="L72" i="1"/>
  <c r="K72" i="1"/>
  <c r="J72" i="1"/>
  <c r="I72" i="1"/>
  <c r="H72" i="1"/>
  <c r="B72" i="1"/>
  <c r="L71" i="1"/>
  <c r="K71" i="1"/>
  <c r="J71" i="1"/>
  <c r="I71" i="1"/>
  <c r="H71" i="1"/>
  <c r="B71" i="1"/>
  <c r="L70" i="1"/>
  <c r="K70" i="1"/>
  <c r="J70" i="1"/>
  <c r="I70" i="1"/>
  <c r="H70" i="1"/>
  <c r="B70" i="1"/>
  <c r="L69" i="1"/>
  <c r="K69" i="1"/>
  <c r="J69" i="1"/>
  <c r="I69" i="1"/>
  <c r="H69" i="1"/>
  <c r="B69" i="1"/>
  <c r="L68" i="1"/>
  <c r="K68" i="1"/>
  <c r="J68" i="1"/>
  <c r="I68" i="1"/>
  <c r="H68" i="1"/>
  <c r="B68" i="1"/>
  <c r="L67" i="1"/>
  <c r="K67" i="1"/>
  <c r="J67" i="1"/>
  <c r="I67" i="1"/>
  <c r="H67" i="1"/>
  <c r="B67" i="1"/>
  <c r="L66" i="1"/>
  <c r="K66" i="1"/>
  <c r="J66" i="1"/>
  <c r="I66" i="1"/>
  <c r="H66" i="1"/>
  <c r="B66" i="1"/>
  <c r="L65" i="1"/>
  <c r="K65" i="1"/>
  <c r="J65" i="1"/>
  <c r="I65" i="1"/>
  <c r="H65" i="1"/>
  <c r="B65" i="1"/>
  <c r="L64" i="1"/>
  <c r="K64" i="1"/>
  <c r="J64" i="1"/>
  <c r="I64" i="1"/>
  <c r="H64" i="1"/>
  <c r="B64" i="1"/>
  <c r="L63" i="1"/>
  <c r="K63" i="1"/>
  <c r="J63" i="1"/>
  <c r="I63" i="1"/>
  <c r="H63" i="1"/>
  <c r="B63" i="1"/>
  <c r="L62" i="1"/>
  <c r="K62" i="1"/>
  <c r="J62" i="1"/>
  <c r="I62" i="1"/>
  <c r="H62" i="1"/>
  <c r="B62" i="1"/>
  <c r="L61" i="1"/>
  <c r="K61" i="1"/>
  <c r="J61" i="1"/>
  <c r="I61" i="1"/>
  <c r="H61" i="1"/>
  <c r="B61" i="1"/>
  <c r="L60" i="1"/>
  <c r="K60" i="1"/>
  <c r="J60" i="1"/>
  <c r="I60" i="1"/>
  <c r="H60" i="1"/>
  <c r="B60" i="1"/>
  <c r="L59" i="1"/>
  <c r="K59" i="1"/>
  <c r="J59" i="1"/>
  <c r="I59" i="1"/>
  <c r="H59" i="1"/>
  <c r="B59" i="1"/>
  <c r="L58" i="1"/>
  <c r="K58" i="1"/>
  <c r="J58" i="1"/>
  <c r="I58" i="1"/>
  <c r="H58" i="1"/>
  <c r="B58" i="1"/>
  <c r="L57" i="1"/>
  <c r="K57" i="1"/>
  <c r="J57" i="1"/>
  <c r="I57" i="1"/>
  <c r="H57" i="1"/>
  <c r="B57" i="1"/>
  <c r="L56" i="1"/>
  <c r="K56" i="1"/>
  <c r="J56" i="1"/>
  <c r="I56" i="1"/>
  <c r="H56" i="1"/>
  <c r="B56" i="1"/>
  <c r="L55" i="1"/>
  <c r="K55" i="1"/>
  <c r="J55" i="1"/>
  <c r="I55" i="1"/>
  <c r="H55" i="1"/>
  <c r="B55" i="1"/>
  <c r="L54" i="1"/>
  <c r="K54" i="1"/>
  <c r="J54" i="1"/>
  <c r="I54" i="1"/>
  <c r="H54" i="1"/>
  <c r="B54" i="1"/>
  <c r="L53" i="1"/>
  <c r="K53" i="1"/>
  <c r="J53" i="1"/>
  <c r="I53" i="1"/>
  <c r="H53" i="1"/>
  <c r="B53" i="1"/>
  <c r="L52" i="1"/>
  <c r="K52" i="1"/>
  <c r="J52" i="1"/>
  <c r="I52" i="1"/>
  <c r="H52" i="1"/>
  <c r="B52" i="1"/>
  <c r="L51" i="1"/>
  <c r="K51" i="1"/>
  <c r="J51" i="1"/>
  <c r="I51" i="1"/>
  <c r="H51" i="1"/>
  <c r="B51" i="1"/>
  <c r="L50" i="1"/>
  <c r="K50" i="1"/>
  <c r="J50" i="1"/>
  <c r="I50" i="1"/>
  <c r="H50" i="1"/>
  <c r="B50" i="1"/>
  <c r="L49" i="1"/>
  <c r="K49" i="1"/>
  <c r="J49" i="1"/>
  <c r="I49" i="1"/>
  <c r="H49" i="1"/>
  <c r="B49" i="1"/>
  <c r="L48" i="1"/>
  <c r="K48" i="1"/>
  <c r="J48" i="1"/>
  <c r="I48" i="1"/>
  <c r="H48" i="1"/>
  <c r="B48" i="1"/>
  <c r="L47" i="1"/>
  <c r="K47" i="1"/>
  <c r="J47" i="1"/>
  <c r="I47" i="1"/>
  <c r="H47" i="1"/>
  <c r="B47" i="1"/>
  <c r="L46" i="1"/>
  <c r="K46" i="1"/>
  <c r="J46" i="1"/>
  <c r="I46" i="1"/>
  <c r="H46" i="1"/>
  <c r="B46" i="1"/>
  <c r="L45" i="1"/>
  <c r="K45" i="1"/>
  <c r="J45" i="1"/>
  <c r="I45" i="1"/>
  <c r="H45" i="1"/>
  <c r="B45" i="1"/>
  <c r="L44" i="1"/>
  <c r="K44" i="1"/>
  <c r="J44" i="1"/>
  <c r="I44" i="1"/>
  <c r="H44" i="1"/>
  <c r="B44" i="1"/>
  <c r="L43" i="1"/>
  <c r="K43" i="1"/>
  <c r="J43" i="1"/>
  <c r="I43" i="1"/>
  <c r="H43" i="1"/>
  <c r="B43" i="1"/>
  <c r="L42" i="1"/>
  <c r="K42" i="1"/>
  <c r="J42" i="1"/>
  <c r="I42" i="1"/>
  <c r="H42" i="1"/>
  <c r="B42" i="1"/>
  <c r="L41" i="1"/>
  <c r="K41" i="1"/>
  <c r="J41" i="1"/>
  <c r="I41" i="1"/>
  <c r="H41" i="1"/>
  <c r="B41" i="1"/>
  <c r="L40" i="1"/>
  <c r="K40" i="1"/>
  <c r="J40" i="1"/>
  <c r="I40" i="1"/>
  <c r="H40" i="1"/>
  <c r="B40" i="1"/>
  <c r="L39" i="1"/>
  <c r="K39" i="1"/>
  <c r="J39" i="1"/>
  <c r="I39" i="1"/>
  <c r="H39" i="1"/>
  <c r="B39" i="1"/>
  <c r="L38" i="1"/>
  <c r="K38" i="1"/>
  <c r="J38" i="1"/>
  <c r="I38" i="1"/>
  <c r="H38" i="1"/>
  <c r="B38" i="1"/>
  <c r="L37" i="1"/>
  <c r="K37" i="1"/>
  <c r="J37" i="1"/>
  <c r="I37" i="1"/>
  <c r="H37" i="1"/>
  <c r="B37" i="1"/>
  <c r="L36" i="1"/>
  <c r="K36" i="1"/>
  <c r="J36" i="1"/>
  <c r="I36" i="1"/>
  <c r="H36" i="1"/>
  <c r="B36" i="1"/>
  <c r="L35" i="1"/>
  <c r="K35" i="1"/>
  <c r="J35" i="1"/>
  <c r="I35" i="1"/>
  <c r="H35" i="1"/>
  <c r="B35" i="1"/>
  <c r="L34" i="1"/>
  <c r="K34" i="1"/>
  <c r="J34" i="1"/>
  <c r="I34" i="1"/>
  <c r="H34" i="1"/>
  <c r="B34" i="1"/>
  <c r="L33" i="1"/>
  <c r="K33" i="1"/>
  <c r="J33" i="1"/>
  <c r="I33" i="1"/>
  <c r="H33" i="1"/>
  <c r="B33" i="1"/>
  <c r="L32" i="1"/>
  <c r="K32" i="1"/>
  <c r="J32" i="1"/>
  <c r="I32" i="1"/>
  <c r="H32" i="1"/>
  <c r="B32" i="1"/>
  <c r="L31" i="1"/>
  <c r="K31" i="1"/>
  <c r="J31" i="1"/>
  <c r="I31" i="1"/>
  <c r="H31" i="1"/>
  <c r="B31" i="1"/>
  <c r="L30" i="1"/>
  <c r="K30" i="1"/>
  <c r="J30" i="1"/>
  <c r="I30" i="1"/>
  <c r="H30" i="1"/>
  <c r="B30" i="1"/>
  <c r="L29" i="1"/>
  <c r="K29" i="1"/>
  <c r="J29" i="1"/>
  <c r="I29" i="1"/>
  <c r="H29" i="1"/>
  <c r="B29" i="1"/>
  <c r="L28" i="1"/>
  <c r="K28" i="1"/>
  <c r="J28" i="1"/>
  <c r="I28" i="1"/>
  <c r="H28" i="1"/>
  <c r="B28" i="1"/>
  <c r="L27" i="1"/>
  <c r="K27" i="1"/>
  <c r="J27" i="1"/>
  <c r="I27" i="1"/>
  <c r="H27" i="1"/>
  <c r="B27" i="1"/>
  <c r="L26" i="1"/>
  <c r="K26" i="1"/>
  <c r="J26" i="1"/>
  <c r="I26" i="1"/>
  <c r="H26" i="1"/>
  <c r="B26" i="1"/>
  <c r="L25" i="1"/>
  <c r="K25" i="1"/>
  <c r="J25" i="1"/>
  <c r="I25" i="1"/>
  <c r="H25" i="1"/>
  <c r="B25" i="1"/>
  <c r="L24" i="1"/>
  <c r="K24" i="1"/>
  <c r="J24" i="1"/>
  <c r="I24" i="1"/>
  <c r="H24" i="1"/>
  <c r="B24" i="1"/>
  <c r="L23" i="1"/>
  <c r="K23" i="1"/>
  <c r="J23" i="1"/>
  <c r="I23" i="1"/>
  <c r="H23" i="1"/>
  <c r="B23" i="1"/>
  <c r="L22" i="1"/>
  <c r="K22" i="1"/>
  <c r="J22" i="1"/>
  <c r="I22" i="1"/>
  <c r="H22" i="1"/>
  <c r="B22" i="1"/>
  <c r="L21" i="1"/>
  <c r="K21" i="1"/>
  <c r="J21" i="1"/>
  <c r="I21" i="1"/>
  <c r="H21" i="1"/>
  <c r="B21" i="1"/>
  <c r="L20" i="1"/>
  <c r="K20" i="1"/>
  <c r="J20" i="1"/>
  <c r="I20" i="1"/>
  <c r="H20" i="1"/>
  <c r="B20" i="1"/>
  <c r="L19" i="1"/>
  <c r="K19" i="1"/>
  <c r="J19" i="1"/>
  <c r="I19" i="1"/>
  <c r="H19" i="1"/>
  <c r="B19" i="1"/>
  <c r="L18" i="1"/>
  <c r="K18" i="1"/>
  <c r="J18" i="1"/>
  <c r="I18" i="1"/>
  <c r="H18" i="1"/>
  <c r="B18" i="1"/>
  <c r="L17" i="1"/>
  <c r="K17" i="1"/>
  <c r="J17" i="1"/>
  <c r="I17" i="1"/>
  <c r="H17" i="1"/>
  <c r="B17" i="1"/>
  <c r="L16" i="1"/>
  <c r="K16" i="1"/>
  <c r="J16" i="1"/>
  <c r="I16" i="1"/>
  <c r="H16" i="1"/>
  <c r="B16" i="1"/>
  <c r="L15" i="1"/>
  <c r="K15" i="1"/>
  <c r="J15" i="1"/>
  <c r="I15" i="1"/>
  <c r="H15" i="1"/>
  <c r="B15" i="1"/>
  <c r="L14" i="1"/>
  <c r="K14" i="1"/>
  <c r="J14" i="1"/>
  <c r="I14" i="1"/>
  <c r="H14" i="1"/>
  <c r="B14" i="1"/>
  <c r="L13" i="1"/>
  <c r="K13" i="1"/>
  <c r="J13" i="1"/>
  <c r="I13" i="1"/>
  <c r="H13" i="1"/>
  <c r="B13" i="1"/>
  <c r="L12" i="1"/>
  <c r="K12" i="1"/>
  <c r="J12" i="1"/>
  <c r="I12" i="1"/>
  <c r="H12" i="1"/>
  <c r="B12" i="1"/>
  <c r="L11" i="1"/>
  <c r="K11" i="1"/>
  <c r="J11" i="1"/>
  <c r="I11" i="1"/>
  <c r="H11" i="1"/>
  <c r="B11" i="1"/>
  <c r="L10" i="1"/>
  <c r="K10" i="1"/>
  <c r="J10" i="1"/>
  <c r="I10" i="1"/>
  <c r="H10" i="1"/>
  <c r="B10" i="1"/>
  <c r="L9" i="1"/>
  <c r="K9" i="1"/>
  <c r="J9" i="1"/>
  <c r="I9" i="1"/>
  <c r="H9" i="1"/>
  <c r="B9" i="1"/>
  <c r="L8" i="1"/>
  <c r="K8" i="1"/>
  <c r="J8" i="1"/>
  <c r="I8" i="1"/>
  <c r="H8" i="1"/>
  <c r="B8" i="1"/>
  <c r="L7" i="1"/>
  <c r="K7" i="1"/>
  <c r="J7" i="1"/>
  <c r="I7" i="1"/>
  <c r="H7" i="1"/>
  <c r="B7" i="1"/>
  <c r="L6" i="1"/>
  <c r="K6" i="1"/>
  <c r="J6" i="1"/>
  <c r="I6" i="1"/>
  <c r="H6" i="1"/>
  <c r="B6" i="1"/>
  <c r="L5" i="1"/>
  <c r="K5" i="1"/>
  <c r="J5" i="1"/>
  <c r="I5" i="1"/>
  <c r="H5" i="1"/>
  <c r="B5" i="1"/>
  <c r="L4" i="1"/>
  <c r="K4" i="1"/>
  <c r="J4" i="1"/>
  <c r="I4" i="1"/>
  <c r="H4" i="1"/>
  <c r="B4" i="1"/>
  <c r="L3" i="1"/>
  <c r="K3" i="1"/>
  <c r="J3" i="1"/>
  <c r="I3" i="1"/>
  <c r="H3" i="1"/>
  <c r="B3" i="1"/>
  <c r="L2" i="1"/>
  <c r="K2" i="1"/>
  <c r="J2" i="1"/>
  <c r="I2" i="1"/>
  <c r="H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numérico interno. No modificar una vez usado en cargas.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Identificador estable generado por fórmula a partir de id_destino.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Ciudad o municipio turístico; no corresponde a un atractivo específico.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1 = alta, 2 = media, 3 = exploratoria.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Lote operativo generado por fórmula para distribuir las ejecuciones.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Consulta generada automáticamente para search.list.</t>
        </r>
      </text>
    </comment>
    <comment ref="P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YouTube search.list admite entre 1 y 50 resultados por llamada.</t>
        </r>
      </text>
    </comment>
    <comment ref="R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0 = excluir posteriormente por duración; 1 = permitir.</t>
        </r>
      </text>
    </comment>
    <comment ref="S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1 = procesar; 0 = omitir.</t>
        </r>
      </text>
    </comment>
    <comment ref="T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Frecuencia sugerida para volver a buscar videos nuevos.</t>
        </r>
      </text>
    </comment>
  </commentList>
</comments>
</file>

<file path=xl/sharedStrings.xml><?xml version="1.0" encoding="utf-8"?>
<sst xmlns="http://schemas.openxmlformats.org/spreadsheetml/2006/main" count="1218" uniqueCount="255">
  <si>
    <t>id_destino</t>
  </si>
  <si>
    <t>place_id</t>
  </si>
  <si>
    <t>municipio</t>
  </si>
  <si>
    <t>provincia</t>
  </si>
  <si>
    <t>comunidad_autonoma</t>
  </si>
  <si>
    <t>tipologia_principal</t>
  </si>
  <si>
    <t>prioridad</t>
  </si>
  <si>
    <t>lote_carga</t>
  </si>
  <si>
    <t>consulta_es_turismo</t>
  </si>
  <si>
    <t>consulta_es_opiniones</t>
  </si>
  <si>
    <t>consulta_en_review</t>
  </si>
  <si>
    <t>consulta_en_que_hacer</t>
  </si>
  <si>
    <t>region_code</t>
  </si>
  <si>
    <t>relevance_language</t>
  </si>
  <si>
    <t>fecha_desde</t>
  </si>
  <si>
    <t>max_resultados_consulta</t>
  </si>
  <si>
    <t>orden_busqueda</t>
  </si>
  <si>
    <t>incluir_shorts</t>
  </si>
  <si>
    <t>activo</t>
  </si>
  <si>
    <t>frecuencia_dias</t>
  </si>
  <si>
    <t>fuente_turismo_url</t>
  </si>
  <si>
    <t>fuente_municipios_url</t>
  </si>
  <si>
    <t>observaciones</t>
  </si>
  <si>
    <t>Sevilla</t>
  </si>
  <si>
    <t>Andalucía</t>
  </si>
  <si>
    <t>Urbano cultural</t>
  </si>
  <si>
    <t>ES</t>
  </si>
  <si>
    <t>es</t>
  </si>
  <si>
    <t>relevance</t>
  </si>
  <si>
    <t>https://www.spain.info/es/consulta/destinos-turisticos-espana/</t>
  </si>
  <si>
    <t>https://www.ine.es/dyngs/INEbase/operacion.htm?c=Estadistica_C&amp;cid=1254736177031&amp;idp=1254734710990&amp;menu=ultiDatos</t>
  </si>
  <si>
    <t>Córdoba</t>
  </si>
  <si>
    <t>Patrimonio histórico</t>
  </si>
  <si>
    <t>Granada</t>
  </si>
  <si>
    <t>Málaga</t>
  </si>
  <si>
    <t>Costa y urbano</t>
  </si>
  <si>
    <t>Marbella</t>
  </si>
  <si>
    <t>Costa y playa</t>
  </si>
  <si>
    <t>Ronda</t>
  </si>
  <si>
    <t>Patrimonio y naturaleza</t>
  </si>
  <si>
    <t>Cádiz</t>
  </si>
  <si>
    <t>Costa y patrimonio</t>
  </si>
  <si>
    <t>Jerez de la Frontera</t>
  </si>
  <si>
    <t>Gastronomía y cultura</t>
  </si>
  <si>
    <t>Almería</t>
  </si>
  <si>
    <t>Nerja</t>
  </si>
  <si>
    <t>Costa y naturaleza</t>
  </si>
  <si>
    <t>Tarifa</t>
  </si>
  <si>
    <t>Costa y deportes</t>
  </si>
  <si>
    <t>Úbeda</t>
  </si>
  <si>
    <t>Jaén</t>
  </si>
  <si>
    <t>Baeza</t>
  </si>
  <si>
    <t>Zaragoza</t>
  </si>
  <si>
    <t>Aragón</t>
  </si>
  <si>
    <t>Huesca</t>
  </si>
  <si>
    <t>Urbano y naturaleza</t>
  </si>
  <si>
    <t>Teruel</t>
  </si>
  <si>
    <t>Jaca</t>
  </si>
  <si>
    <t>Montaña y patrimonio</t>
  </si>
  <si>
    <t>Albarracín</t>
  </si>
  <si>
    <t>Patrimonio rural</t>
  </si>
  <si>
    <t>Oviedo</t>
  </si>
  <si>
    <t>Asturias</t>
  </si>
  <si>
    <t>Principado de Asturias</t>
  </si>
  <si>
    <t>Gijón</t>
  </si>
  <si>
    <t>Avilés</t>
  </si>
  <si>
    <t>Patrimonio y urbano</t>
  </si>
  <si>
    <t>Cangas de Onís</t>
  </si>
  <si>
    <t>Naturaleza y montaña</t>
  </si>
  <si>
    <t>Llanes</t>
  </si>
  <si>
    <t>Cudillero</t>
  </si>
  <si>
    <t>Palma</t>
  </si>
  <si>
    <t>Balears, Illes</t>
  </si>
  <si>
    <t>Illes Balears</t>
  </si>
  <si>
    <t>Urbano y costa</t>
  </si>
  <si>
    <t>Alcúdia</t>
  </si>
  <si>
    <t>Sóller</t>
  </si>
  <si>
    <t>Ciutadella de Menorca</t>
  </si>
  <si>
    <t>Maó</t>
  </si>
  <si>
    <t>Eivissa</t>
  </si>
  <si>
    <t>Costa y ocio</t>
  </si>
  <si>
    <t>Las Palmas de Gran Canaria</t>
  </si>
  <si>
    <t>Las Palmas</t>
  </si>
  <si>
    <t>Canarias</t>
  </si>
  <si>
    <t>San Bartolomé de Tirajana</t>
  </si>
  <si>
    <t>Mogán</t>
  </si>
  <si>
    <t>Arrecife</t>
  </si>
  <si>
    <t>Yaiza</t>
  </si>
  <si>
    <t>Naturaleza y costa</t>
  </si>
  <si>
    <t>La Oliva</t>
  </si>
  <si>
    <t>Santa Cruz de Tenerife</t>
  </si>
  <si>
    <t>San Cristóbal de La Laguna</t>
  </si>
  <si>
    <t>Puerto de la Cruz</t>
  </si>
  <si>
    <t>Adeje</t>
  </si>
  <si>
    <t>Arona</t>
  </si>
  <si>
    <t>Santander</t>
  </si>
  <si>
    <t>Cantabria</t>
  </si>
  <si>
    <t>Santillana del Mar</t>
  </si>
  <si>
    <t>Comillas</t>
  </si>
  <si>
    <t>Patrimonio y costa</t>
  </si>
  <si>
    <t>Castro-Urdiales</t>
  </si>
  <si>
    <t>Potes</t>
  </si>
  <si>
    <t>Montaña y naturaleza</t>
  </si>
  <si>
    <t>Valladolid</t>
  </si>
  <si>
    <t>Castilla y León</t>
  </si>
  <si>
    <t>Burgos</t>
  </si>
  <si>
    <t>León</t>
  </si>
  <si>
    <t>Salamanca</t>
  </si>
  <si>
    <t>Segovia</t>
  </si>
  <si>
    <t>Ávila</t>
  </si>
  <si>
    <t>Soria</t>
  </si>
  <si>
    <t>Zamora</t>
  </si>
  <si>
    <t>Ponferrada</t>
  </si>
  <si>
    <t>Ciudad Rodrigo</t>
  </si>
  <si>
    <t>Toledo</t>
  </si>
  <si>
    <t>Castilla-La Mancha</t>
  </si>
  <si>
    <t>Cuenca</t>
  </si>
  <si>
    <t>Albacete</t>
  </si>
  <si>
    <t>Urbano y gastronomía</t>
  </si>
  <si>
    <t>Ciudad Real</t>
  </si>
  <si>
    <t>Sigüenza</t>
  </si>
  <si>
    <t>Guadalajara</t>
  </si>
  <si>
    <t>Consuegra</t>
  </si>
  <si>
    <t>Almagro</t>
  </si>
  <si>
    <t>Barcelona</t>
  </si>
  <si>
    <t>Cataluña</t>
  </si>
  <si>
    <t>Girona</t>
  </si>
  <si>
    <t>Patrimonio y gastronomía</t>
  </si>
  <si>
    <t>Tarragona</t>
  </si>
  <si>
    <t>Lleida</t>
  </si>
  <si>
    <t>Urbano y patrimonio</t>
  </si>
  <si>
    <t>Sitges</t>
  </si>
  <si>
    <t>Figueres</t>
  </si>
  <si>
    <t>Arte y cultura</t>
  </si>
  <si>
    <t>Lloret de Mar</t>
  </si>
  <si>
    <t>Cadaqués</t>
  </si>
  <si>
    <t>Salou</t>
  </si>
  <si>
    <t>Vic</t>
  </si>
  <si>
    <t>València</t>
  </si>
  <si>
    <t>Valencia/València</t>
  </si>
  <si>
    <t>Comunitat Valenciana</t>
  </si>
  <si>
    <t>Alicante/Alacant</t>
  </si>
  <si>
    <t>Benidorm</t>
  </si>
  <si>
    <t>Castelló de la Plana</t>
  </si>
  <si>
    <t>Castellón/Castelló</t>
  </si>
  <si>
    <t>Peñíscola</t>
  </si>
  <si>
    <t>Gandia</t>
  </si>
  <si>
    <t>Dénia</t>
  </si>
  <si>
    <t>Costa y gastronomía</t>
  </si>
  <si>
    <t>Altea</t>
  </si>
  <si>
    <t>Cáceres</t>
  </si>
  <si>
    <t>Extremadura</t>
  </si>
  <si>
    <t>Mérida</t>
  </si>
  <si>
    <t>Badajoz</t>
  </si>
  <si>
    <t>Trujillo</t>
  </si>
  <si>
    <t>Plasencia</t>
  </si>
  <si>
    <t>Guadalupe</t>
  </si>
  <si>
    <t>Religioso y patrimonio</t>
  </si>
  <si>
    <t>Santiago de Compostela</t>
  </si>
  <si>
    <t>A Coruña</t>
  </si>
  <si>
    <t>Galicia</t>
  </si>
  <si>
    <t>Vigo</t>
  </si>
  <si>
    <t>Pontevedra</t>
  </si>
  <si>
    <t>Lugo</t>
  </si>
  <si>
    <t>Ourense</t>
  </si>
  <si>
    <t>Termal y urbano</t>
  </si>
  <si>
    <t>Sanxenxo</t>
  </si>
  <si>
    <t>Ribadeo</t>
  </si>
  <si>
    <t>Madrid</t>
  </si>
  <si>
    <t>Comunidad de Madrid</t>
  </si>
  <si>
    <t>Alcalá de Henares</t>
  </si>
  <si>
    <t>Aranjuez</t>
  </si>
  <si>
    <t>Patrimonio y jardines</t>
  </si>
  <si>
    <t>San Lorenzo de El Escorial</t>
  </si>
  <si>
    <t>Chinchón</t>
  </si>
  <si>
    <t>Buitrago del Lozoya</t>
  </si>
  <si>
    <t>Murcia</t>
  </si>
  <si>
    <t>Región de Murcia</t>
  </si>
  <si>
    <t>Cartagena</t>
  </si>
  <si>
    <t>Lorca</t>
  </si>
  <si>
    <t>Caravaca de la Cruz</t>
  </si>
  <si>
    <t>Águilas</t>
  </si>
  <si>
    <t>Pamplona/Iruña</t>
  </si>
  <si>
    <t>Navarra</t>
  </si>
  <si>
    <t>Comunidad Foral de Navarra</t>
  </si>
  <si>
    <t>Tudela</t>
  </si>
  <si>
    <t>Gastronomía y patrimonio</t>
  </si>
  <si>
    <t>Estella-Lizarra</t>
  </si>
  <si>
    <t>Camino y patrimonio</t>
  </si>
  <si>
    <t>Olite/Erriberri</t>
  </si>
  <si>
    <t>Bilbao</t>
  </si>
  <si>
    <t>Bizkaia</t>
  </si>
  <si>
    <t>País Vasco</t>
  </si>
  <si>
    <t>Donostia/San Sebastián</t>
  </si>
  <si>
    <t>Gipuzkoa</t>
  </si>
  <si>
    <t>Vitoria-Gasteiz</t>
  </si>
  <si>
    <t>Araba/Álava</t>
  </si>
  <si>
    <t>Hondarribia</t>
  </si>
  <si>
    <t>Getaria</t>
  </si>
  <si>
    <t>Bermeo</t>
  </si>
  <si>
    <t>Logroño</t>
  </si>
  <si>
    <t>Rioja, La</t>
  </si>
  <si>
    <t>La Rioja</t>
  </si>
  <si>
    <t>Gastronomía y vino</t>
  </si>
  <si>
    <t>Haro</t>
  </si>
  <si>
    <t>Santo Domingo de la Calzada</t>
  </si>
  <si>
    <t>Ezcaray</t>
  </si>
  <si>
    <t>Naturaleza y gastronomía</t>
  </si>
  <si>
    <t>Ceuta</t>
  </si>
  <si>
    <t>Melilla</t>
  </si>
  <si>
    <t>Tipologías</t>
  </si>
  <si>
    <t>Prioridades</t>
  </si>
  <si>
    <t>Orden búsqueda</t>
  </si>
  <si>
    <t>Booleano</t>
  </si>
  <si>
    <t>Idioma</t>
  </si>
  <si>
    <t>date</t>
  </si>
  <si>
    <t>en</t>
  </si>
  <si>
    <t>viewCount</t>
  </si>
  <si>
    <t>Resumen operativo del catálogo</t>
  </si>
  <si>
    <t>Indicador</t>
  </si>
  <si>
    <t>Valor</t>
  </si>
  <si>
    <t>Municipios incluidos</t>
  </si>
  <si>
    <t>Municipios activos</t>
  </si>
  <si>
    <t>Consultas por municipio</t>
  </si>
  <si>
    <t>Llamadas search.list por ejecución completa</t>
  </si>
  <si>
    <t>Resultados brutos máximos por ejecución</t>
  </si>
  <si>
    <t>Número de lotes operativos</t>
  </si>
  <si>
    <t>Comunidad autónoma</t>
  </si>
  <si>
    <t>Total</t>
  </si>
  <si>
    <t>Activos</t>
  </si>
  <si>
    <t>Prioridad alta</t>
  </si>
  <si>
    <t>Uso del catálogo en SharePoint y YouTube Data API</t>
  </si>
  <si>
    <t>Tema</t>
  </si>
  <si>
    <t>Descripción</t>
  </si>
  <si>
    <t>Propósito</t>
  </si>
  <si>
    <t>La hoja Lugares contiene ciudades y municipios turísticos de España. No incluye monumentos, playas o atracciones individuales.</t>
  </si>
  <si>
    <t>Tabla de SharePoint</t>
  </si>
  <si>
    <t>La tabla de Excel se llama tbl_lugares. Power Automate puede usar “List rows present in a table” sobre esta tabla.</t>
  </si>
  <si>
    <t>Consultas</t>
  </si>
  <si>
    <t>Las cuatro consultas se generan por fórmula. Al cambiar el municipio o la provincia, Excel recalcula automáticamente los textos.</t>
  </si>
  <si>
    <t>Prioridad</t>
  </si>
  <si>
    <t>1 = destino principal; 2 = destino secundario; 3 = incorporación exploratoria.</t>
  </si>
  <si>
    <t>Lote de carga</t>
  </si>
  <si>
    <t>Se distribuyen los municipios en diez lotes para evitar concentrar todas las búsquedas el mismo día.</t>
  </si>
  <si>
    <t>Cuota</t>
  </si>
  <si>
    <t>max_resultados_consulta está limitado a 50, que es el máximo de search.list por llamada.</t>
  </si>
  <si>
    <t>Shorts</t>
  </si>
  <si>
    <t>incluir_shorts=0 indica que el proceso posterior debe excluir candidatos de corta duración; search.list no tiene un filtro perfecto para Shorts.</t>
  </si>
  <si>
    <t>Fuente</t>
  </si>
  <si>
    <t>La selección es un catálogo inicial, no un ranking definitivo. Puede ampliarse o reducirse según la metodología académica.</t>
  </si>
  <si>
    <t>Fuentes</t>
  </si>
  <si>
    <t>Portal oficial de destinos turísticos de España</t>
  </si>
  <si>
    <t>Relación oficial de municipios del INE</t>
  </si>
  <si>
    <t>Documentación de YouTube search.list</t>
  </si>
  <si>
    <t>https://developers.google.com/youtube/v3/docs/search/list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</si>
</sst>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u/>
      <sz val="11"/>
      <color rgb="FF008000"/>
      <name val="Calibri"/>
    </font>
    <font>
      <b/>
      <sz val="16"/>
      <color rgb="FFFFFFFF"/>
      <name val="Calibri"/>
    </font>
    <font>
      <b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ugares" displayName="tbl_lugares" ref="A1:W123">
  <autoFilter ref="A1:W123" xr:uid="{00000000-0009-0000-0100-000001000000}"/>
  <tableColumns count="23">
    <tableColumn id="1" xr3:uid="{00000000-0010-0000-0000-000001000000}" name="id_destino"/>
    <tableColumn id="2" xr3:uid="{00000000-0010-0000-0000-000002000000}" name="place_id"/>
    <tableColumn id="3" xr3:uid="{00000000-0010-0000-0000-000003000000}" name="municipio"/>
    <tableColumn id="4" xr3:uid="{00000000-0010-0000-0000-000004000000}" name="provincia"/>
    <tableColumn id="5" xr3:uid="{00000000-0010-0000-0000-000005000000}" name="comunidad_autonoma"/>
    <tableColumn id="6" xr3:uid="{00000000-0010-0000-0000-000006000000}" name="tipologia_principal"/>
    <tableColumn id="7" xr3:uid="{00000000-0010-0000-0000-000007000000}" name="prioridad"/>
    <tableColumn id="8" xr3:uid="{00000000-0010-0000-0000-000008000000}" name="lote_carga"/>
    <tableColumn id="9" xr3:uid="{00000000-0010-0000-0000-000009000000}" name="consulta_es_turismo"/>
    <tableColumn id="10" xr3:uid="{00000000-0010-0000-0000-00000A000000}" name="consulta_es_opiniones"/>
    <tableColumn id="11" xr3:uid="{00000000-0010-0000-0000-00000B000000}" name="consulta_en_review"/>
    <tableColumn id="12" xr3:uid="{00000000-0010-0000-0000-00000C000000}" name="consulta_en_que_hacer"/>
    <tableColumn id="13" xr3:uid="{00000000-0010-0000-0000-00000D000000}" name="region_code"/>
    <tableColumn id="14" xr3:uid="{00000000-0010-0000-0000-00000E000000}" name="relevance_language"/>
    <tableColumn id="15" xr3:uid="{00000000-0010-0000-0000-00000F000000}" name="fecha_desde"/>
    <tableColumn id="16" xr3:uid="{00000000-0010-0000-0000-000010000000}" name="max_resultados_consulta"/>
    <tableColumn id="17" xr3:uid="{00000000-0010-0000-0000-000011000000}" name="orden_busqueda"/>
    <tableColumn id="18" xr3:uid="{00000000-0010-0000-0000-000012000000}" name="incluir_shorts"/>
    <tableColumn id="19" xr3:uid="{00000000-0010-0000-0000-000013000000}" name="activo"/>
    <tableColumn id="20" xr3:uid="{00000000-0010-0000-0000-000014000000}" name="frecuencia_dias"/>
    <tableColumn id="21" xr3:uid="{00000000-0010-0000-0000-000015000000}" name="fuente_turismo_url"/>
    <tableColumn id="22" xr3:uid="{00000000-0010-0000-0000-000016000000}" name="fuente_municipios_url"/>
    <tableColumn id="23" xr3:uid="{00000000-0010-0000-0000-000017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ain.info/es/consulta/destinos-turisticos-espana/" TargetMode="External"/><Relationship Id="rId21" Type="http://schemas.openxmlformats.org/officeDocument/2006/relationships/hyperlink" Target="https://www.spain.info/es/consulta/destinos-turisticos-espana/" TargetMode="External"/><Relationship Id="rId42" Type="http://schemas.openxmlformats.org/officeDocument/2006/relationships/hyperlink" Target="https://www.ine.es/dyngs/INEbase/operacion.htm?c=Estadistica_C&amp;cid=1254736177031&amp;idp=1254734710990&amp;menu=ultiDatos" TargetMode="External"/><Relationship Id="rId63" Type="http://schemas.openxmlformats.org/officeDocument/2006/relationships/hyperlink" Target="https://www.spain.info/es/consulta/destinos-turisticos-espana/" TargetMode="External"/><Relationship Id="rId84" Type="http://schemas.openxmlformats.org/officeDocument/2006/relationships/hyperlink" Target="https://www.ine.es/dyngs/INEbase/operacion.htm?c=Estadistica_C&amp;cid=1254736177031&amp;idp=1254734710990&amp;menu=ultiDatos" TargetMode="External"/><Relationship Id="rId138" Type="http://schemas.openxmlformats.org/officeDocument/2006/relationships/hyperlink" Target="https://www.ine.es/dyngs/INEbase/operacion.htm?c=Estadistica_C&amp;cid=1254736177031&amp;idp=1254734710990&amp;menu=ultiDatos" TargetMode="External"/><Relationship Id="rId159" Type="http://schemas.openxmlformats.org/officeDocument/2006/relationships/hyperlink" Target="https://www.spain.info/es/consulta/destinos-turisticos-espana/" TargetMode="External"/><Relationship Id="rId170" Type="http://schemas.openxmlformats.org/officeDocument/2006/relationships/hyperlink" Target="https://www.ine.es/dyngs/INEbase/operacion.htm?c=Estadistica_C&amp;cid=1254736177031&amp;idp=1254734710990&amp;menu=ultiDatos" TargetMode="External"/><Relationship Id="rId191" Type="http://schemas.openxmlformats.org/officeDocument/2006/relationships/hyperlink" Target="https://www.spain.info/es/consulta/destinos-turisticos-espana/" TargetMode="External"/><Relationship Id="rId205" Type="http://schemas.openxmlformats.org/officeDocument/2006/relationships/hyperlink" Target="https://www.spain.info/es/consulta/destinos-turisticos-espana/" TargetMode="External"/><Relationship Id="rId226" Type="http://schemas.openxmlformats.org/officeDocument/2006/relationships/hyperlink" Target="https://www.ine.es/dyngs/INEbase/operacion.htm?c=Estadistica_C&amp;cid=1254736177031&amp;idp=1254734710990&amp;menu=ultiDatos" TargetMode="External"/><Relationship Id="rId247" Type="http://schemas.openxmlformats.org/officeDocument/2006/relationships/comments" Target="../comments1.xml"/><Relationship Id="rId107" Type="http://schemas.openxmlformats.org/officeDocument/2006/relationships/hyperlink" Target="https://www.spain.info/es/consulta/destinos-turisticos-espana/" TargetMode="External"/><Relationship Id="rId11" Type="http://schemas.openxmlformats.org/officeDocument/2006/relationships/hyperlink" Target="https://www.spain.info/es/consulta/destinos-turisticos-espana/" TargetMode="External"/><Relationship Id="rId32" Type="http://schemas.openxmlformats.org/officeDocument/2006/relationships/hyperlink" Target="https://www.ine.es/dyngs/INEbase/operacion.htm?c=Estadistica_C&amp;cid=1254736177031&amp;idp=1254734710990&amp;menu=ultiDatos" TargetMode="External"/><Relationship Id="rId53" Type="http://schemas.openxmlformats.org/officeDocument/2006/relationships/hyperlink" Target="https://www.spain.info/es/consulta/destinos-turisticos-espana/" TargetMode="External"/><Relationship Id="rId74" Type="http://schemas.openxmlformats.org/officeDocument/2006/relationships/hyperlink" Target="https://www.ine.es/dyngs/INEbase/operacion.htm?c=Estadistica_C&amp;cid=1254736177031&amp;idp=1254734710990&amp;menu=ultiDatos" TargetMode="External"/><Relationship Id="rId128" Type="http://schemas.openxmlformats.org/officeDocument/2006/relationships/hyperlink" Target="https://www.ine.es/dyngs/INEbase/operacion.htm?c=Estadistica_C&amp;cid=1254736177031&amp;idp=1254734710990&amp;menu=ultiDatos" TargetMode="External"/><Relationship Id="rId149" Type="http://schemas.openxmlformats.org/officeDocument/2006/relationships/hyperlink" Target="https://www.spain.info/es/consulta/destinos-turisticos-espana/" TargetMode="External"/><Relationship Id="rId5" Type="http://schemas.openxmlformats.org/officeDocument/2006/relationships/hyperlink" Target="https://www.spain.info/es/consulta/destinos-turisticos-espana/" TargetMode="External"/><Relationship Id="rId95" Type="http://schemas.openxmlformats.org/officeDocument/2006/relationships/hyperlink" Target="https://www.spain.info/es/consulta/destinos-turisticos-espana/" TargetMode="External"/><Relationship Id="rId160" Type="http://schemas.openxmlformats.org/officeDocument/2006/relationships/hyperlink" Target="https://www.ine.es/dyngs/INEbase/operacion.htm?c=Estadistica_C&amp;cid=1254736177031&amp;idp=1254734710990&amp;menu=ultiDatos" TargetMode="External"/><Relationship Id="rId181" Type="http://schemas.openxmlformats.org/officeDocument/2006/relationships/hyperlink" Target="https://www.spain.info/es/consulta/destinos-turisticos-espana/" TargetMode="External"/><Relationship Id="rId216" Type="http://schemas.openxmlformats.org/officeDocument/2006/relationships/hyperlink" Target="https://www.ine.es/dyngs/INEbase/operacion.htm?c=Estadistica_C&amp;cid=1254736177031&amp;idp=1254734710990&amp;menu=ultiDatos" TargetMode="External"/><Relationship Id="rId237" Type="http://schemas.openxmlformats.org/officeDocument/2006/relationships/hyperlink" Target="https://www.spain.info/es/consulta/destinos-turisticos-espana/" TargetMode="External"/><Relationship Id="rId22" Type="http://schemas.openxmlformats.org/officeDocument/2006/relationships/hyperlink" Target="https://www.ine.es/dyngs/INEbase/operacion.htm?c=Estadistica_C&amp;cid=1254736177031&amp;idp=1254734710990&amp;menu=ultiDatos" TargetMode="External"/><Relationship Id="rId43" Type="http://schemas.openxmlformats.org/officeDocument/2006/relationships/hyperlink" Target="https://www.spain.info/es/consulta/destinos-turisticos-espana/" TargetMode="External"/><Relationship Id="rId64" Type="http://schemas.openxmlformats.org/officeDocument/2006/relationships/hyperlink" Target="https://www.ine.es/dyngs/INEbase/operacion.htm?c=Estadistica_C&amp;cid=1254736177031&amp;idp=1254734710990&amp;menu=ultiDatos" TargetMode="External"/><Relationship Id="rId118" Type="http://schemas.openxmlformats.org/officeDocument/2006/relationships/hyperlink" Target="https://www.ine.es/dyngs/INEbase/operacion.htm?c=Estadistica_C&amp;cid=1254736177031&amp;idp=1254734710990&amp;menu=ultiDatos" TargetMode="External"/><Relationship Id="rId139" Type="http://schemas.openxmlformats.org/officeDocument/2006/relationships/hyperlink" Target="https://www.spain.info/es/consulta/destinos-turisticos-espana/" TargetMode="External"/><Relationship Id="rId85" Type="http://schemas.openxmlformats.org/officeDocument/2006/relationships/hyperlink" Target="https://www.spain.info/es/consulta/destinos-turisticos-espana/" TargetMode="External"/><Relationship Id="rId150" Type="http://schemas.openxmlformats.org/officeDocument/2006/relationships/hyperlink" Target="https://www.ine.es/dyngs/INEbase/operacion.htm?c=Estadistica_C&amp;cid=1254736177031&amp;idp=1254734710990&amp;menu=ultiDatos" TargetMode="External"/><Relationship Id="rId171" Type="http://schemas.openxmlformats.org/officeDocument/2006/relationships/hyperlink" Target="https://www.spain.info/es/consulta/destinos-turisticos-espana/" TargetMode="External"/><Relationship Id="rId192" Type="http://schemas.openxmlformats.org/officeDocument/2006/relationships/hyperlink" Target="https://www.ine.es/dyngs/INEbase/operacion.htm?c=Estadistica_C&amp;cid=1254736177031&amp;idp=1254734710990&amp;menu=ultiDatos" TargetMode="External"/><Relationship Id="rId206" Type="http://schemas.openxmlformats.org/officeDocument/2006/relationships/hyperlink" Target="https://www.ine.es/dyngs/INEbase/operacion.htm?c=Estadistica_C&amp;cid=1254736177031&amp;idp=1254734710990&amp;menu=ultiDatos" TargetMode="External"/><Relationship Id="rId227" Type="http://schemas.openxmlformats.org/officeDocument/2006/relationships/hyperlink" Target="https://www.spain.info/es/consulta/destinos-turisticos-espana/" TargetMode="External"/><Relationship Id="rId12" Type="http://schemas.openxmlformats.org/officeDocument/2006/relationships/hyperlink" Target="https://www.ine.es/dyngs/INEbase/operacion.htm?c=Estadistica_C&amp;cid=1254736177031&amp;idp=1254734710990&amp;menu=ultiDatos" TargetMode="External"/><Relationship Id="rId33" Type="http://schemas.openxmlformats.org/officeDocument/2006/relationships/hyperlink" Target="https://www.spain.info/es/consulta/destinos-turisticos-espana/" TargetMode="External"/><Relationship Id="rId108" Type="http://schemas.openxmlformats.org/officeDocument/2006/relationships/hyperlink" Target="https://www.ine.es/dyngs/INEbase/operacion.htm?c=Estadistica_C&amp;cid=1254736177031&amp;idp=1254734710990&amp;menu=ultiDatos" TargetMode="External"/><Relationship Id="rId129" Type="http://schemas.openxmlformats.org/officeDocument/2006/relationships/hyperlink" Target="https://www.spain.info/es/consulta/destinos-turisticos-espana/" TargetMode="External"/><Relationship Id="rId54" Type="http://schemas.openxmlformats.org/officeDocument/2006/relationships/hyperlink" Target="https://www.ine.es/dyngs/INEbase/operacion.htm?c=Estadistica_C&amp;cid=1254736177031&amp;idp=1254734710990&amp;menu=ultiDatos" TargetMode="External"/><Relationship Id="rId75" Type="http://schemas.openxmlformats.org/officeDocument/2006/relationships/hyperlink" Target="https://www.spain.info/es/consulta/destinos-turisticos-espana/" TargetMode="External"/><Relationship Id="rId96" Type="http://schemas.openxmlformats.org/officeDocument/2006/relationships/hyperlink" Target="https://www.ine.es/dyngs/INEbase/operacion.htm?c=Estadistica_C&amp;cid=1254736177031&amp;idp=1254734710990&amp;menu=ultiDatos" TargetMode="External"/><Relationship Id="rId140" Type="http://schemas.openxmlformats.org/officeDocument/2006/relationships/hyperlink" Target="https://www.ine.es/dyngs/INEbase/operacion.htm?c=Estadistica_C&amp;cid=1254736177031&amp;idp=1254734710990&amp;menu=ultiDatos" TargetMode="External"/><Relationship Id="rId161" Type="http://schemas.openxmlformats.org/officeDocument/2006/relationships/hyperlink" Target="https://www.spain.info/es/consulta/destinos-turisticos-espana/" TargetMode="External"/><Relationship Id="rId182" Type="http://schemas.openxmlformats.org/officeDocument/2006/relationships/hyperlink" Target="https://www.ine.es/dyngs/INEbase/operacion.htm?c=Estadistica_C&amp;cid=1254736177031&amp;idp=1254734710990&amp;menu=ultiDatos" TargetMode="External"/><Relationship Id="rId217" Type="http://schemas.openxmlformats.org/officeDocument/2006/relationships/hyperlink" Target="https://www.spain.info/es/consulta/destinos-turisticos-espana/" TargetMode="External"/><Relationship Id="rId6" Type="http://schemas.openxmlformats.org/officeDocument/2006/relationships/hyperlink" Target="https://www.ine.es/dyngs/INEbase/operacion.htm?c=Estadistica_C&amp;cid=1254736177031&amp;idp=1254734710990&amp;menu=ultiDatos" TargetMode="External"/><Relationship Id="rId238" Type="http://schemas.openxmlformats.org/officeDocument/2006/relationships/hyperlink" Target="https://www.ine.es/dyngs/INEbase/operacion.htm?c=Estadistica_C&amp;cid=1254736177031&amp;idp=1254734710990&amp;menu=ultiDatos" TargetMode="External"/><Relationship Id="rId23" Type="http://schemas.openxmlformats.org/officeDocument/2006/relationships/hyperlink" Target="https://www.spain.info/es/consulta/destinos-turisticos-espana/" TargetMode="External"/><Relationship Id="rId119" Type="http://schemas.openxmlformats.org/officeDocument/2006/relationships/hyperlink" Target="https://www.spain.info/es/consulta/destinos-turisticos-espana/" TargetMode="External"/><Relationship Id="rId44" Type="http://schemas.openxmlformats.org/officeDocument/2006/relationships/hyperlink" Target="https://www.ine.es/dyngs/INEbase/operacion.htm?c=Estadistica_C&amp;cid=1254736177031&amp;idp=1254734710990&amp;menu=ultiDatos" TargetMode="External"/><Relationship Id="rId65" Type="http://schemas.openxmlformats.org/officeDocument/2006/relationships/hyperlink" Target="https://www.spain.info/es/consulta/destinos-turisticos-espana/" TargetMode="External"/><Relationship Id="rId86" Type="http://schemas.openxmlformats.org/officeDocument/2006/relationships/hyperlink" Target="https://www.ine.es/dyngs/INEbase/operacion.htm?c=Estadistica_C&amp;cid=1254736177031&amp;idp=1254734710990&amp;menu=ultiDatos" TargetMode="External"/><Relationship Id="rId130" Type="http://schemas.openxmlformats.org/officeDocument/2006/relationships/hyperlink" Target="https://www.ine.es/dyngs/INEbase/operacion.htm?c=Estadistica_C&amp;cid=1254736177031&amp;idp=1254734710990&amp;menu=ultiDatos" TargetMode="External"/><Relationship Id="rId151" Type="http://schemas.openxmlformats.org/officeDocument/2006/relationships/hyperlink" Target="https://www.spain.info/es/consulta/destinos-turisticos-espana/" TargetMode="External"/><Relationship Id="rId172" Type="http://schemas.openxmlformats.org/officeDocument/2006/relationships/hyperlink" Target="https://www.ine.es/dyngs/INEbase/operacion.htm?c=Estadistica_C&amp;cid=1254736177031&amp;idp=1254734710990&amp;menu=ultiDatos" TargetMode="External"/><Relationship Id="rId193" Type="http://schemas.openxmlformats.org/officeDocument/2006/relationships/hyperlink" Target="https://www.spain.info/es/consulta/destinos-turisticos-espana/" TargetMode="External"/><Relationship Id="rId207" Type="http://schemas.openxmlformats.org/officeDocument/2006/relationships/hyperlink" Target="https://www.spain.info/es/consulta/destinos-turisticos-espana/" TargetMode="External"/><Relationship Id="rId228" Type="http://schemas.openxmlformats.org/officeDocument/2006/relationships/hyperlink" Target="https://www.ine.es/dyngs/INEbase/operacion.htm?c=Estadistica_C&amp;cid=1254736177031&amp;idp=1254734710990&amp;menu=ultiDatos" TargetMode="External"/><Relationship Id="rId13" Type="http://schemas.openxmlformats.org/officeDocument/2006/relationships/hyperlink" Target="https://www.spain.info/es/consulta/destinos-turisticos-espana/" TargetMode="External"/><Relationship Id="rId109" Type="http://schemas.openxmlformats.org/officeDocument/2006/relationships/hyperlink" Target="https://www.spain.info/es/consulta/destinos-turisticos-espana/" TargetMode="External"/><Relationship Id="rId34" Type="http://schemas.openxmlformats.org/officeDocument/2006/relationships/hyperlink" Target="https://www.ine.es/dyngs/INEbase/operacion.htm?c=Estadistica_C&amp;cid=1254736177031&amp;idp=1254734710990&amp;menu=ultiDatos" TargetMode="External"/><Relationship Id="rId55" Type="http://schemas.openxmlformats.org/officeDocument/2006/relationships/hyperlink" Target="https://www.spain.info/es/consulta/destinos-turisticos-espana/" TargetMode="External"/><Relationship Id="rId76" Type="http://schemas.openxmlformats.org/officeDocument/2006/relationships/hyperlink" Target="https://www.ine.es/dyngs/INEbase/operacion.htm?c=Estadistica_C&amp;cid=1254736177031&amp;idp=1254734710990&amp;menu=ultiDatos" TargetMode="External"/><Relationship Id="rId97" Type="http://schemas.openxmlformats.org/officeDocument/2006/relationships/hyperlink" Target="https://www.spain.info/es/consulta/destinos-turisticos-espana/" TargetMode="External"/><Relationship Id="rId120" Type="http://schemas.openxmlformats.org/officeDocument/2006/relationships/hyperlink" Target="https://www.ine.es/dyngs/INEbase/operacion.htm?c=Estadistica_C&amp;cid=1254736177031&amp;idp=1254734710990&amp;menu=ultiDatos" TargetMode="External"/><Relationship Id="rId141" Type="http://schemas.openxmlformats.org/officeDocument/2006/relationships/hyperlink" Target="https://www.spain.info/es/consulta/destinos-turisticos-espana/" TargetMode="External"/><Relationship Id="rId7" Type="http://schemas.openxmlformats.org/officeDocument/2006/relationships/hyperlink" Target="https://www.spain.info/es/consulta/destinos-turisticos-espana/" TargetMode="External"/><Relationship Id="rId162" Type="http://schemas.openxmlformats.org/officeDocument/2006/relationships/hyperlink" Target="https://www.ine.es/dyngs/INEbase/operacion.htm?c=Estadistica_C&amp;cid=1254736177031&amp;idp=1254734710990&amp;menu=ultiDatos" TargetMode="External"/><Relationship Id="rId183" Type="http://schemas.openxmlformats.org/officeDocument/2006/relationships/hyperlink" Target="https://www.spain.info/es/consulta/destinos-turisticos-espana/" TargetMode="External"/><Relationship Id="rId218" Type="http://schemas.openxmlformats.org/officeDocument/2006/relationships/hyperlink" Target="https://www.ine.es/dyngs/INEbase/operacion.htm?c=Estadistica_C&amp;cid=1254736177031&amp;idp=1254734710990&amp;menu=ultiDatos" TargetMode="External"/><Relationship Id="rId239" Type="http://schemas.openxmlformats.org/officeDocument/2006/relationships/hyperlink" Target="https://www.spain.info/es/consulta/destinos-turisticos-espana/" TargetMode="External"/><Relationship Id="rId24" Type="http://schemas.openxmlformats.org/officeDocument/2006/relationships/hyperlink" Target="https://www.ine.es/dyngs/INEbase/operacion.htm?c=Estadistica_C&amp;cid=1254736177031&amp;idp=1254734710990&amp;menu=ultiDatos" TargetMode="External"/><Relationship Id="rId45" Type="http://schemas.openxmlformats.org/officeDocument/2006/relationships/hyperlink" Target="https://www.spain.info/es/consulta/destinos-turisticos-espana/" TargetMode="External"/><Relationship Id="rId66" Type="http://schemas.openxmlformats.org/officeDocument/2006/relationships/hyperlink" Target="https://www.ine.es/dyngs/INEbase/operacion.htm?c=Estadistica_C&amp;cid=1254736177031&amp;idp=1254734710990&amp;menu=ultiDatos" TargetMode="External"/><Relationship Id="rId87" Type="http://schemas.openxmlformats.org/officeDocument/2006/relationships/hyperlink" Target="https://www.spain.info/es/consulta/destinos-turisticos-espana/" TargetMode="External"/><Relationship Id="rId110" Type="http://schemas.openxmlformats.org/officeDocument/2006/relationships/hyperlink" Target="https://www.ine.es/dyngs/INEbase/operacion.htm?c=Estadistica_C&amp;cid=1254736177031&amp;idp=1254734710990&amp;menu=ultiDatos" TargetMode="External"/><Relationship Id="rId131" Type="http://schemas.openxmlformats.org/officeDocument/2006/relationships/hyperlink" Target="https://www.spain.info/es/consulta/destinos-turisticos-espana/" TargetMode="External"/><Relationship Id="rId152" Type="http://schemas.openxmlformats.org/officeDocument/2006/relationships/hyperlink" Target="https://www.ine.es/dyngs/INEbase/operacion.htm?c=Estadistica_C&amp;cid=1254736177031&amp;idp=1254734710990&amp;menu=ultiDatos" TargetMode="External"/><Relationship Id="rId173" Type="http://schemas.openxmlformats.org/officeDocument/2006/relationships/hyperlink" Target="https://www.spain.info/es/consulta/destinos-turisticos-espana/" TargetMode="External"/><Relationship Id="rId194" Type="http://schemas.openxmlformats.org/officeDocument/2006/relationships/hyperlink" Target="https://www.ine.es/dyngs/INEbase/operacion.htm?c=Estadistica_C&amp;cid=1254736177031&amp;idp=1254734710990&amp;menu=ultiDatos" TargetMode="External"/><Relationship Id="rId208" Type="http://schemas.openxmlformats.org/officeDocument/2006/relationships/hyperlink" Target="https://www.ine.es/dyngs/INEbase/operacion.htm?c=Estadistica_C&amp;cid=1254736177031&amp;idp=1254734710990&amp;menu=ultiDatos" TargetMode="External"/><Relationship Id="rId229" Type="http://schemas.openxmlformats.org/officeDocument/2006/relationships/hyperlink" Target="https://www.spain.info/es/consulta/destinos-turisticos-espana/" TargetMode="External"/><Relationship Id="rId240" Type="http://schemas.openxmlformats.org/officeDocument/2006/relationships/hyperlink" Target="https://www.ine.es/dyngs/INEbase/operacion.htm?c=Estadistica_C&amp;cid=1254736177031&amp;idp=1254734710990&amp;menu=ultiDatos" TargetMode="External"/><Relationship Id="rId14" Type="http://schemas.openxmlformats.org/officeDocument/2006/relationships/hyperlink" Target="https://www.ine.es/dyngs/INEbase/operacion.htm?c=Estadistica_C&amp;cid=1254736177031&amp;idp=1254734710990&amp;menu=ultiDatos" TargetMode="External"/><Relationship Id="rId35" Type="http://schemas.openxmlformats.org/officeDocument/2006/relationships/hyperlink" Target="https://www.spain.info/es/consulta/destinos-turisticos-espana/" TargetMode="External"/><Relationship Id="rId56" Type="http://schemas.openxmlformats.org/officeDocument/2006/relationships/hyperlink" Target="https://www.ine.es/dyngs/INEbase/operacion.htm?c=Estadistica_C&amp;cid=1254736177031&amp;idp=1254734710990&amp;menu=ultiDatos" TargetMode="External"/><Relationship Id="rId77" Type="http://schemas.openxmlformats.org/officeDocument/2006/relationships/hyperlink" Target="https://www.spain.info/es/consulta/destinos-turisticos-espana/" TargetMode="External"/><Relationship Id="rId100" Type="http://schemas.openxmlformats.org/officeDocument/2006/relationships/hyperlink" Target="https://www.ine.es/dyngs/INEbase/operacion.htm?c=Estadistica_C&amp;cid=1254736177031&amp;idp=1254734710990&amp;menu=ultiDatos" TargetMode="External"/><Relationship Id="rId8" Type="http://schemas.openxmlformats.org/officeDocument/2006/relationships/hyperlink" Target="https://www.ine.es/dyngs/INEbase/operacion.htm?c=Estadistica_C&amp;cid=1254736177031&amp;idp=1254734710990&amp;menu=ultiDatos" TargetMode="External"/><Relationship Id="rId98" Type="http://schemas.openxmlformats.org/officeDocument/2006/relationships/hyperlink" Target="https://www.ine.es/dyngs/INEbase/operacion.htm?c=Estadistica_C&amp;cid=1254736177031&amp;idp=1254734710990&amp;menu=ultiDatos" TargetMode="External"/><Relationship Id="rId121" Type="http://schemas.openxmlformats.org/officeDocument/2006/relationships/hyperlink" Target="https://www.spain.info/es/consulta/destinos-turisticos-espana/" TargetMode="External"/><Relationship Id="rId142" Type="http://schemas.openxmlformats.org/officeDocument/2006/relationships/hyperlink" Target="https://www.ine.es/dyngs/INEbase/operacion.htm?c=Estadistica_C&amp;cid=1254736177031&amp;idp=1254734710990&amp;menu=ultiDatos" TargetMode="External"/><Relationship Id="rId163" Type="http://schemas.openxmlformats.org/officeDocument/2006/relationships/hyperlink" Target="https://www.spain.info/es/consulta/destinos-turisticos-espana/" TargetMode="External"/><Relationship Id="rId184" Type="http://schemas.openxmlformats.org/officeDocument/2006/relationships/hyperlink" Target="https://www.ine.es/dyngs/INEbase/operacion.htm?c=Estadistica_C&amp;cid=1254736177031&amp;idp=1254734710990&amp;menu=ultiDatos" TargetMode="External"/><Relationship Id="rId219" Type="http://schemas.openxmlformats.org/officeDocument/2006/relationships/hyperlink" Target="https://www.spain.info/es/consulta/destinos-turisticos-espana/" TargetMode="External"/><Relationship Id="rId230" Type="http://schemas.openxmlformats.org/officeDocument/2006/relationships/hyperlink" Target="https://www.ine.es/dyngs/INEbase/operacion.htm?c=Estadistica_C&amp;cid=1254736177031&amp;idp=1254734710990&amp;menu=ultiDatos" TargetMode="External"/><Relationship Id="rId25" Type="http://schemas.openxmlformats.org/officeDocument/2006/relationships/hyperlink" Target="https://www.spain.info/es/consulta/destinos-turisticos-espana/" TargetMode="External"/><Relationship Id="rId46" Type="http://schemas.openxmlformats.org/officeDocument/2006/relationships/hyperlink" Target="https://www.ine.es/dyngs/INEbase/operacion.htm?c=Estadistica_C&amp;cid=1254736177031&amp;idp=1254734710990&amp;menu=ultiDatos" TargetMode="External"/><Relationship Id="rId67" Type="http://schemas.openxmlformats.org/officeDocument/2006/relationships/hyperlink" Target="https://www.spain.info/es/consulta/destinos-turisticos-espana/" TargetMode="External"/><Relationship Id="rId88" Type="http://schemas.openxmlformats.org/officeDocument/2006/relationships/hyperlink" Target="https://www.ine.es/dyngs/INEbase/operacion.htm?c=Estadistica_C&amp;cid=1254736177031&amp;idp=1254734710990&amp;menu=ultiDatos" TargetMode="External"/><Relationship Id="rId111" Type="http://schemas.openxmlformats.org/officeDocument/2006/relationships/hyperlink" Target="https://www.spain.info/es/consulta/destinos-turisticos-espana/" TargetMode="External"/><Relationship Id="rId132" Type="http://schemas.openxmlformats.org/officeDocument/2006/relationships/hyperlink" Target="https://www.ine.es/dyngs/INEbase/operacion.htm?c=Estadistica_C&amp;cid=1254736177031&amp;idp=1254734710990&amp;menu=ultiDatos" TargetMode="External"/><Relationship Id="rId153" Type="http://schemas.openxmlformats.org/officeDocument/2006/relationships/hyperlink" Target="https://www.spain.info/es/consulta/destinos-turisticos-espana/" TargetMode="External"/><Relationship Id="rId174" Type="http://schemas.openxmlformats.org/officeDocument/2006/relationships/hyperlink" Target="https://www.ine.es/dyngs/INEbase/operacion.htm?c=Estadistica_C&amp;cid=1254736177031&amp;idp=1254734710990&amp;menu=ultiDatos" TargetMode="External"/><Relationship Id="rId195" Type="http://schemas.openxmlformats.org/officeDocument/2006/relationships/hyperlink" Target="https://www.spain.info/es/consulta/destinos-turisticos-espana/" TargetMode="External"/><Relationship Id="rId209" Type="http://schemas.openxmlformats.org/officeDocument/2006/relationships/hyperlink" Target="https://www.spain.info/es/consulta/destinos-turisticos-espana/" TargetMode="External"/><Relationship Id="rId220" Type="http://schemas.openxmlformats.org/officeDocument/2006/relationships/hyperlink" Target="https://www.ine.es/dyngs/INEbase/operacion.htm?c=Estadistica_C&amp;cid=1254736177031&amp;idp=1254734710990&amp;menu=ultiDatos" TargetMode="External"/><Relationship Id="rId241" Type="http://schemas.openxmlformats.org/officeDocument/2006/relationships/hyperlink" Target="https://www.spain.info/es/consulta/destinos-turisticos-espana/" TargetMode="External"/><Relationship Id="rId15" Type="http://schemas.openxmlformats.org/officeDocument/2006/relationships/hyperlink" Target="https://www.spain.info/es/consulta/destinos-turisticos-espana/" TargetMode="External"/><Relationship Id="rId36" Type="http://schemas.openxmlformats.org/officeDocument/2006/relationships/hyperlink" Target="https://www.ine.es/dyngs/INEbase/operacion.htm?c=Estadistica_C&amp;cid=1254736177031&amp;idp=1254734710990&amp;menu=ultiDatos" TargetMode="External"/><Relationship Id="rId57" Type="http://schemas.openxmlformats.org/officeDocument/2006/relationships/hyperlink" Target="https://www.spain.info/es/consulta/destinos-turisticos-espana/" TargetMode="External"/><Relationship Id="rId10" Type="http://schemas.openxmlformats.org/officeDocument/2006/relationships/hyperlink" Target="https://www.ine.es/dyngs/INEbase/operacion.htm?c=Estadistica_C&amp;cid=1254736177031&amp;idp=1254734710990&amp;menu=ultiDatos" TargetMode="External"/><Relationship Id="rId31" Type="http://schemas.openxmlformats.org/officeDocument/2006/relationships/hyperlink" Target="https://www.spain.info/es/consulta/destinos-turisticos-espana/" TargetMode="External"/><Relationship Id="rId52" Type="http://schemas.openxmlformats.org/officeDocument/2006/relationships/hyperlink" Target="https://www.ine.es/dyngs/INEbase/operacion.htm?c=Estadistica_C&amp;cid=1254736177031&amp;idp=1254734710990&amp;menu=ultiDatos" TargetMode="External"/><Relationship Id="rId73" Type="http://schemas.openxmlformats.org/officeDocument/2006/relationships/hyperlink" Target="https://www.spain.info/es/consulta/destinos-turisticos-espana/" TargetMode="External"/><Relationship Id="rId78" Type="http://schemas.openxmlformats.org/officeDocument/2006/relationships/hyperlink" Target="https://www.ine.es/dyngs/INEbase/operacion.htm?c=Estadistica_C&amp;cid=1254736177031&amp;idp=1254734710990&amp;menu=ultiDatos" TargetMode="External"/><Relationship Id="rId94" Type="http://schemas.openxmlformats.org/officeDocument/2006/relationships/hyperlink" Target="https://www.ine.es/dyngs/INEbase/operacion.htm?c=Estadistica_C&amp;cid=1254736177031&amp;idp=1254734710990&amp;menu=ultiDatos" TargetMode="External"/><Relationship Id="rId99" Type="http://schemas.openxmlformats.org/officeDocument/2006/relationships/hyperlink" Target="https://www.spain.info/es/consulta/destinos-turisticos-espana/" TargetMode="External"/><Relationship Id="rId101" Type="http://schemas.openxmlformats.org/officeDocument/2006/relationships/hyperlink" Target="https://www.spain.info/es/consulta/destinos-turisticos-espana/" TargetMode="External"/><Relationship Id="rId122" Type="http://schemas.openxmlformats.org/officeDocument/2006/relationships/hyperlink" Target="https://www.ine.es/dyngs/INEbase/operacion.htm?c=Estadistica_C&amp;cid=1254736177031&amp;idp=1254734710990&amp;menu=ultiDatos" TargetMode="External"/><Relationship Id="rId143" Type="http://schemas.openxmlformats.org/officeDocument/2006/relationships/hyperlink" Target="https://www.spain.info/es/consulta/destinos-turisticos-espana/" TargetMode="External"/><Relationship Id="rId148" Type="http://schemas.openxmlformats.org/officeDocument/2006/relationships/hyperlink" Target="https://www.ine.es/dyngs/INEbase/operacion.htm?c=Estadistica_C&amp;cid=1254736177031&amp;idp=1254734710990&amp;menu=ultiDatos" TargetMode="External"/><Relationship Id="rId164" Type="http://schemas.openxmlformats.org/officeDocument/2006/relationships/hyperlink" Target="https://www.ine.es/dyngs/INEbase/operacion.htm?c=Estadistica_C&amp;cid=1254736177031&amp;idp=1254734710990&amp;menu=ultiDatos" TargetMode="External"/><Relationship Id="rId169" Type="http://schemas.openxmlformats.org/officeDocument/2006/relationships/hyperlink" Target="https://www.spain.info/es/consulta/destinos-turisticos-espana/" TargetMode="External"/><Relationship Id="rId185" Type="http://schemas.openxmlformats.org/officeDocument/2006/relationships/hyperlink" Target="https://www.spain.info/es/consulta/destinos-turisticos-espana/" TargetMode="External"/><Relationship Id="rId4" Type="http://schemas.openxmlformats.org/officeDocument/2006/relationships/hyperlink" Target="https://www.ine.es/dyngs/INEbase/operacion.htm?c=Estadistica_C&amp;cid=1254736177031&amp;idp=1254734710990&amp;menu=ultiDatos" TargetMode="External"/><Relationship Id="rId9" Type="http://schemas.openxmlformats.org/officeDocument/2006/relationships/hyperlink" Target="https://www.spain.info/es/consulta/destinos-turisticos-espana/" TargetMode="External"/><Relationship Id="rId180" Type="http://schemas.openxmlformats.org/officeDocument/2006/relationships/hyperlink" Target="https://www.ine.es/dyngs/INEbase/operacion.htm?c=Estadistica_C&amp;cid=1254736177031&amp;idp=1254734710990&amp;menu=ultiDatos" TargetMode="External"/><Relationship Id="rId210" Type="http://schemas.openxmlformats.org/officeDocument/2006/relationships/hyperlink" Target="https://www.ine.es/dyngs/INEbase/operacion.htm?c=Estadistica_C&amp;cid=1254736177031&amp;idp=1254734710990&amp;menu=ultiDatos" TargetMode="External"/><Relationship Id="rId215" Type="http://schemas.openxmlformats.org/officeDocument/2006/relationships/hyperlink" Target="https://www.spain.info/es/consulta/destinos-turisticos-espana/" TargetMode="External"/><Relationship Id="rId236" Type="http://schemas.openxmlformats.org/officeDocument/2006/relationships/hyperlink" Target="https://www.ine.es/dyngs/INEbase/operacion.htm?c=Estadistica_C&amp;cid=1254736177031&amp;idp=1254734710990&amp;menu=ultiDatos" TargetMode="External"/><Relationship Id="rId26" Type="http://schemas.openxmlformats.org/officeDocument/2006/relationships/hyperlink" Target="https://www.ine.es/dyngs/INEbase/operacion.htm?c=Estadistica_C&amp;cid=1254736177031&amp;idp=1254734710990&amp;menu=ultiDatos" TargetMode="External"/><Relationship Id="rId231" Type="http://schemas.openxmlformats.org/officeDocument/2006/relationships/hyperlink" Target="https://www.spain.info/es/consulta/destinos-turisticos-espana/" TargetMode="External"/><Relationship Id="rId47" Type="http://schemas.openxmlformats.org/officeDocument/2006/relationships/hyperlink" Target="https://www.spain.info/es/consulta/destinos-turisticos-espana/" TargetMode="External"/><Relationship Id="rId68" Type="http://schemas.openxmlformats.org/officeDocument/2006/relationships/hyperlink" Target="https://www.ine.es/dyngs/INEbase/operacion.htm?c=Estadistica_C&amp;cid=1254736177031&amp;idp=1254734710990&amp;menu=ultiDatos" TargetMode="External"/><Relationship Id="rId89" Type="http://schemas.openxmlformats.org/officeDocument/2006/relationships/hyperlink" Target="https://www.spain.info/es/consulta/destinos-turisticos-espana/" TargetMode="External"/><Relationship Id="rId112" Type="http://schemas.openxmlformats.org/officeDocument/2006/relationships/hyperlink" Target="https://www.ine.es/dyngs/INEbase/operacion.htm?c=Estadistica_C&amp;cid=1254736177031&amp;idp=1254734710990&amp;menu=ultiDatos" TargetMode="External"/><Relationship Id="rId133" Type="http://schemas.openxmlformats.org/officeDocument/2006/relationships/hyperlink" Target="https://www.spain.info/es/consulta/destinos-turisticos-espana/" TargetMode="External"/><Relationship Id="rId154" Type="http://schemas.openxmlformats.org/officeDocument/2006/relationships/hyperlink" Target="https://www.ine.es/dyngs/INEbase/operacion.htm?c=Estadistica_C&amp;cid=1254736177031&amp;idp=1254734710990&amp;menu=ultiDatos" TargetMode="External"/><Relationship Id="rId175" Type="http://schemas.openxmlformats.org/officeDocument/2006/relationships/hyperlink" Target="https://www.spain.info/es/consulta/destinos-turisticos-espana/" TargetMode="External"/><Relationship Id="rId196" Type="http://schemas.openxmlformats.org/officeDocument/2006/relationships/hyperlink" Target="https://www.ine.es/dyngs/INEbase/operacion.htm?c=Estadistica_C&amp;cid=1254736177031&amp;idp=1254734710990&amp;menu=ultiDatos" TargetMode="External"/><Relationship Id="rId200" Type="http://schemas.openxmlformats.org/officeDocument/2006/relationships/hyperlink" Target="https://www.ine.es/dyngs/INEbase/operacion.htm?c=Estadistica_C&amp;cid=1254736177031&amp;idp=1254734710990&amp;menu=ultiDatos" TargetMode="External"/><Relationship Id="rId16" Type="http://schemas.openxmlformats.org/officeDocument/2006/relationships/hyperlink" Target="https://www.ine.es/dyngs/INEbase/operacion.htm?c=Estadistica_C&amp;cid=1254736177031&amp;idp=1254734710990&amp;menu=ultiDatos" TargetMode="External"/><Relationship Id="rId221" Type="http://schemas.openxmlformats.org/officeDocument/2006/relationships/hyperlink" Target="https://www.spain.info/es/consulta/destinos-turisticos-espana/" TargetMode="External"/><Relationship Id="rId242" Type="http://schemas.openxmlformats.org/officeDocument/2006/relationships/hyperlink" Target="https://www.ine.es/dyngs/INEbase/operacion.htm?c=Estadistica_C&amp;cid=1254736177031&amp;idp=1254734710990&amp;menu=ultiDatos" TargetMode="External"/><Relationship Id="rId37" Type="http://schemas.openxmlformats.org/officeDocument/2006/relationships/hyperlink" Target="https://www.spain.info/es/consulta/destinos-turisticos-espana/" TargetMode="External"/><Relationship Id="rId58" Type="http://schemas.openxmlformats.org/officeDocument/2006/relationships/hyperlink" Target="https://www.ine.es/dyngs/INEbase/operacion.htm?c=Estadistica_C&amp;cid=1254736177031&amp;idp=1254734710990&amp;menu=ultiDatos" TargetMode="External"/><Relationship Id="rId79" Type="http://schemas.openxmlformats.org/officeDocument/2006/relationships/hyperlink" Target="https://www.spain.info/es/consulta/destinos-turisticos-espana/" TargetMode="External"/><Relationship Id="rId102" Type="http://schemas.openxmlformats.org/officeDocument/2006/relationships/hyperlink" Target="https://www.ine.es/dyngs/INEbase/operacion.htm?c=Estadistica_C&amp;cid=1254736177031&amp;idp=1254734710990&amp;menu=ultiDatos" TargetMode="External"/><Relationship Id="rId123" Type="http://schemas.openxmlformats.org/officeDocument/2006/relationships/hyperlink" Target="https://www.spain.info/es/consulta/destinos-turisticos-espana/" TargetMode="External"/><Relationship Id="rId144" Type="http://schemas.openxmlformats.org/officeDocument/2006/relationships/hyperlink" Target="https://www.ine.es/dyngs/INEbase/operacion.htm?c=Estadistica_C&amp;cid=1254736177031&amp;idp=1254734710990&amp;menu=ultiDatos" TargetMode="External"/><Relationship Id="rId90" Type="http://schemas.openxmlformats.org/officeDocument/2006/relationships/hyperlink" Target="https://www.ine.es/dyngs/INEbase/operacion.htm?c=Estadistica_C&amp;cid=1254736177031&amp;idp=1254734710990&amp;menu=ultiDatos" TargetMode="External"/><Relationship Id="rId165" Type="http://schemas.openxmlformats.org/officeDocument/2006/relationships/hyperlink" Target="https://www.spain.info/es/consulta/destinos-turisticos-espana/" TargetMode="External"/><Relationship Id="rId186" Type="http://schemas.openxmlformats.org/officeDocument/2006/relationships/hyperlink" Target="https://www.ine.es/dyngs/INEbase/operacion.htm?c=Estadistica_C&amp;cid=1254736177031&amp;idp=1254734710990&amp;menu=ultiDatos" TargetMode="External"/><Relationship Id="rId211" Type="http://schemas.openxmlformats.org/officeDocument/2006/relationships/hyperlink" Target="https://www.spain.info/es/consulta/destinos-turisticos-espana/" TargetMode="External"/><Relationship Id="rId232" Type="http://schemas.openxmlformats.org/officeDocument/2006/relationships/hyperlink" Target="https://www.ine.es/dyngs/INEbase/operacion.htm?c=Estadistica_C&amp;cid=1254736177031&amp;idp=1254734710990&amp;menu=ultiDatos" TargetMode="External"/><Relationship Id="rId27" Type="http://schemas.openxmlformats.org/officeDocument/2006/relationships/hyperlink" Target="https://www.spain.info/es/consulta/destinos-turisticos-espana/" TargetMode="External"/><Relationship Id="rId48" Type="http://schemas.openxmlformats.org/officeDocument/2006/relationships/hyperlink" Target="https://www.ine.es/dyngs/INEbase/operacion.htm?c=Estadistica_C&amp;cid=1254736177031&amp;idp=1254734710990&amp;menu=ultiDatos" TargetMode="External"/><Relationship Id="rId69" Type="http://schemas.openxmlformats.org/officeDocument/2006/relationships/hyperlink" Target="https://www.spain.info/es/consulta/destinos-turisticos-espana/" TargetMode="External"/><Relationship Id="rId113" Type="http://schemas.openxmlformats.org/officeDocument/2006/relationships/hyperlink" Target="https://www.spain.info/es/consulta/destinos-turisticos-espana/" TargetMode="External"/><Relationship Id="rId134" Type="http://schemas.openxmlformats.org/officeDocument/2006/relationships/hyperlink" Target="https://www.ine.es/dyngs/INEbase/operacion.htm?c=Estadistica_C&amp;cid=1254736177031&amp;idp=1254734710990&amp;menu=ultiDatos" TargetMode="External"/><Relationship Id="rId80" Type="http://schemas.openxmlformats.org/officeDocument/2006/relationships/hyperlink" Target="https://www.ine.es/dyngs/INEbase/operacion.htm?c=Estadistica_C&amp;cid=1254736177031&amp;idp=1254734710990&amp;menu=ultiDatos" TargetMode="External"/><Relationship Id="rId155" Type="http://schemas.openxmlformats.org/officeDocument/2006/relationships/hyperlink" Target="https://www.spain.info/es/consulta/destinos-turisticos-espana/" TargetMode="External"/><Relationship Id="rId176" Type="http://schemas.openxmlformats.org/officeDocument/2006/relationships/hyperlink" Target="https://www.ine.es/dyngs/INEbase/operacion.htm?c=Estadistica_C&amp;cid=1254736177031&amp;idp=1254734710990&amp;menu=ultiDatos" TargetMode="External"/><Relationship Id="rId197" Type="http://schemas.openxmlformats.org/officeDocument/2006/relationships/hyperlink" Target="https://www.spain.info/es/consulta/destinos-turisticos-espana/" TargetMode="External"/><Relationship Id="rId201" Type="http://schemas.openxmlformats.org/officeDocument/2006/relationships/hyperlink" Target="https://www.spain.info/es/consulta/destinos-turisticos-espana/" TargetMode="External"/><Relationship Id="rId222" Type="http://schemas.openxmlformats.org/officeDocument/2006/relationships/hyperlink" Target="https://www.ine.es/dyngs/INEbase/operacion.htm?c=Estadistica_C&amp;cid=1254736177031&amp;idp=1254734710990&amp;menu=ultiDatos" TargetMode="External"/><Relationship Id="rId243" Type="http://schemas.openxmlformats.org/officeDocument/2006/relationships/hyperlink" Target="https://www.spain.info/es/consulta/destinos-turisticos-espana/" TargetMode="External"/><Relationship Id="rId17" Type="http://schemas.openxmlformats.org/officeDocument/2006/relationships/hyperlink" Target="https://www.spain.info/es/consulta/destinos-turisticos-espana/" TargetMode="External"/><Relationship Id="rId38" Type="http://schemas.openxmlformats.org/officeDocument/2006/relationships/hyperlink" Target="https://www.ine.es/dyngs/INEbase/operacion.htm?c=Estadistica_C&amp;cid=1254736177031&amp;idp=1254734710990&amp;menu=ultiDatos" TargetMode="External"/><Relationship Id="rId59" Type="http://schemas.openxmlformats.org/officeDocument/2006/relationships/hyperlink" Target="https://www.spain.info/es/consulta/destinos-turisticos-espana/" TargetMode="External"/><Relationship Id="rId103" Type="http://schemas.openxmlformats.org/officeDocument/2006/relationships/hyperlink" Target="https://www.spain.info/es/consulta/destinos-turisticos-espana/" TargetMode="External"/><Relationship Id="rId124" Type="http://schemas.openxmlformats.org/officeDocument/2006/relationships/hyperlink" Target="https://www.ine.es/dyngs/INEbase/operacion.htm?c=Estadistica_C&amp;cid=1254736177031&amp;idp=1254734710990&amp;menu=ultiDatos" TargetMode="External"/><Relationship Id="rId70" Type="http://schemas.openxmlformats.org/officeDocument/2006/relationships/hyperlink" Target="https://www.ine.es/dyngs/INEbase/operacion.htm?c=Estadistica_C&amp;cid=1254736177031&amp;idp=1254734710990&amp;menu=ultiDatos" TargetMode="External"/><Relationship Id="rId91" Type="http://schemas.openxmlformats.org/officeDocument/2006/relationships/hyperlink" Target="https://www.spain.info/es/consulta/destinos-turisticos-espana/" TargetMode="External"/><Relationship Id="rId145" Type="http://schemas.openxmlformats.org/officeDocument/2006/relationships/hyperlink" Target="https://www.spain.info/es/consulta/destinos-turisticos-espana/" TargetMode="External"/><Relationship Id="rId166" Type="http://schemas.openxmlformats.org/officeDocument/2006/relationships/hyperlink" Target="https://www.ine.es/dyngs/INEbase/operacion.htm?c=Estadistica_C&amp;cid=1254736177031&amp;idp=1254734710990&amp;menu=ultiDatos" TargetMode="External"/><Relationship Id="rId187" Type="http://schemas.openxmlformats.org/officeDocument/2006/relationships/hyperlink" Target="https://www.spain.info/es/consulta/destinos-turisticos-espana/" TargetMode="External"/><Relationship Id="rId1" Type="http://schemas.openxmlformats.org/officeDocument/2006/relationships/hyperlink" Target="https://www.spain.info/es/consulta/destinos-turisticos-espana/" TargetMode="External"/><Relationship Id="rId212" Type="http://schemas.openxmlformats.org/officeDocument/2006/relationships/hyperlink" Target="https://www.ine.es/dyngs/INEbase/operacion.htm?c=Estadistica_C&amp;cid=1254736177031&amp;idp=1254734710990&amp;menu=ultiDatos" TargetMode="External"/><Relationship Id="rId233" Type="http://schemas.openxmlformats.org/officeDocument/2006/relationships/hyperlink" Target="https://www.spain.info/es/consulta/destinos-turisticos-espana/" TargetMode="External"/><Relationship Id="rId28" Type="http://schemas.openxmlformats.org/officeDocument/2006/relationships/hyperlink" Target="https://www.ine.es/dyngs/INEbase/operacion.htm?c=Estadistica_C&amp;cid=1254736177031&amp;idp=1254734710990&amp;menu=ultiDatos" TargetMode="External"/><Relationship Id="rId49" Type="http://schemas.openxmlformats.org/officeDocument/2006/relationships/hyperlink" Target="https://www.spain.info/es/consulta/destinos-turisticos-espana/" TargetMode="External"/><Relationship Id="rId114" Type="http://schemas.openxmlformats.org/officeDocument/2006/relationships/hyperlink" Target="https://www.ine.es/dyngs/INEbase/operacion.htm?c=Estadistica_C&amp;cid=1254736177031&amp;idp=1254734710990&amp;menu=ultiDatos" TargetMode="External"/><Relationship Id="rId60" Type="http://schemas.openxmlformats.org/officeDocument/2006/relationships/hyperlink" Target="https://www.ine.es/dyngs/INEbase/operacion.htm?c=Estadistica_C&amp;cid=1254736177031&amp;idp=1254734710990&amp;menu=ultiDatos" TargetMode="External"/><Relationship Id="rId81" Type="http://schemas.openxmlformats.org/officeDocument/2006/relationships/hyperlink" Target="https://www.spain.info/es/consulta/destinos-turisticos-espana/" TargetMode="External"/><Relationship Id="rId135" Type="http://schemas.openxmlformats.org/officeDocument/2006/relationships/hyperlink" Target="https://www.spain.info/es/consulta/destinos-turisticos-espana/" TargetMode="External"/><Relationship Id="rId156" Type="http://schemas.openxmlformats.org/officeDocument/2006/relationships/hyperlink" Target="https://www.ine.es/dyngs/INEbase/operacion.htm?c=Estadistica_C&amp;cid=1254736177031&amp;idp=1254734710990&amp;menu=ultiDatos" TargetMode="External"/><Relationship Id="rId177" Type="http://schemas.openxmlformats.org/officeDocument/2006/relationships/hyperlink" Target="https://www.spain.info/es/consulta/destinos-turisticos-espana/" TargetMode="External"/><Relationship Id="rId198" Type="http://schemas.openxmlformats.org/officeDocument/2006/relationships/hyperlink" Target="https://www.ine.es/dyngs/INEbase/operacion.htm?c=Estadistica_C&amp;cid=1254736177031&amp;idp=1254734710990&amp;menu=ultiDatos" TargetMode="External"/><Relationship Id="rId202" Type="http://schemas.openxmlformats.org/officeDocument/2006/relationships/hyperlink" Target="https://www.ine.es/dyngs/INEbase/operacion.htm?c=Estadistica_C&amp;cid=1254736177031&amp;idp=1254734710990&amp;menu=ultiDatos" TargetMode="External"/><Relationship Id="rId223" Type="http://schemas.openxmlformats.org/officeDocument/2006/relationships/hyperlink" Target="https://www.spain.info/es/consulta/destinos-turisticos-espana/" TargetMode="External"/><Relationship Id="rId244" Type="http://schemas.openxmlformats.org/officeDocument/2006/relationships/hyperlink" Target="https://www.ine.es/dyngs/INEbase/operacion.htm?c=Estadistica_C&amp;cid=1254736177031&amp;idp=1254734710990&amp;menu=ultiDatos" TargetMode="External"/><Relationship Id="rId18" Type="http://schemas.openxmlformats.org/officeDocument/2006/relationships/hyperlink" Target="https://www.ine.es/dyngs/INEbase/operacion.htm?c=Estadistica_C&amp;cid=1254736177031&amp;idp=1254734710990&amp;menu=ultiDatos" TargetMode="External"/><Relationship Id="rId39" Type="http://schemas.openxmlformats.org/officeDocument/2006/relationships/hyperlink" Target="https://www.spain.info/es/consulta/destinos-turisticos-espana/" TargetMode="External"/><Relationship Id="rId50" Type="http://schemas.openxmlformats.org/officeDocument/2006/relationships/hyperlink" Target="https://www.ine.es/dyngs/INEbase/operacion.htm?c=Estadistica_C&amp;cid=1254736177031&amp;idp=1254734710990&amp;menu=ultiDatos" TargetMode="External"/><Relationship Id="rId104" Type="http://schemas.openxmlformats.org/officeDocument/2006/relationships/hyperlink" Target="https://www.ine.es/dyngs/INEbase/operacion.htm?c=Estadistica_C&amp;cid=1254736177031&amp;idp=1254734710990&amp;menu=ultiDatos" TargetMode="External"/><Relationship Id="rId125" Type="http://schemas.openxmlformats.org/officeDocument/2006/relationships/hyperlink" Target="https://www.spain.info/es/consulta/destinos-turisticos-espana/" TargetMode="External"/><Relationship Id="rId146" Type="http://schemas.openxmlformats.org/officeDocument/2006/relationships/hyperlink" Target="https://www.ine.es/dyngs/INEbase/operacion.htm?c=Estadistica_C&amp;cid=1254736177031&amp;idp=1254734710990&amp;menu=ultiDatos" TargetMode="External"/><Relationship Id="rId167" Type="http://schemas.openxmlformats.org/officeDocument/2006/relationships/hyperlink" Target="https://www.spain.info/es/consulta/destinos-turisticos-espana/" TargetMode="External"/><Relationship Id="rId188" Type="http://schemas.openxmlformats.org/officeDocument/2006/relationships/hyperlink" Target="https://www.ine.es/dyngs/INEbase/operacion.htm?c=Estadistica_C&amp;cid=1254736177031&amp;idp=1254734710990&amp;menu=ultiDatos" TargetMode="External"/><Relationship Id="rId71" Type="http://schemas.openxmlformats.org/officeDocument/2006/relationships/hyperlink" Target="https://www.spain.info/es/consulta/destinos-turisticos-espana/" TargetMode="External"/><Relationship Id="rId92" Type="http://schemas.openxmlformats.org/officeDocument/2006/relationships/hyperlink" Target="https://www.ine.es/dyngs/INEbase/operacion.htm?c=Estadistica_C&amp;cid=1254736177031&amp;idp=1254734710990&amp;menu=ultiDatos" TargetMode="External"/><Relationship Id="rId213" Type="http://schemas.openxmlformats.org/officeDocument/2006/relationships/hyperlink" Target="https://www.spain.info/es/consulta/destinos-turisticos-espana/" TargetMode="External"/><Relationship Id="rId234" Type="http://schemas.openxmlformats.org/officeDocument/2006/relationships/hyperlink" Target="https://www.ine.es/dyngs/INEbase/operacion.htm?c=Estadistica_C&amp;cid=1254736177031&amp;idp=1254734710990&amp;menu=ultiDatos" TargetMode="External"/><Relationship Id="rId2" Type="http://schemas.openxmlformats.org/officeDocument/2006/relationships/hyperlink" Target="https://www.ine.es/dyngs/INEbase/operacion.htm?c=Estadistica_C&amp;cid=1254736177031&amp;idp=1254734710990&amp;menu=ultiDatos" TargetMode="External"/><Relationship Id="rId29" Type="http://schemas.openxmlformats.org/officeDocument/2006/relationships/hyperlink" Target="https://www.spain.info/es/consulta/destinos-turisticos-espana/" TargetMode="External"/><Relationship Id="rId40" Type="http://schemas.openxmlformats.org/officeDocument/2006/relationships/hyperlink" Target="https://www.ine.es/dyngs/INEbase/operacion.htm?c=Estadistica_C&amp;cid=1254736177031&amp;idp=1254734710990&amp;menu=ultiDatos" TargetMode="External"/><Relationship Id="rId115" Type="http://schemas.openxmlformats.org/officeDocument/2006/relationships/hyperlink" Target="https://www.spain.info/es/consulta/destinos-turisticos-espana/" TargetMode="External"/><Relationship Id="rId136" Type="http://schemas.openxmlformats.org/officeDocument/2006/relationships/hyperlink" Target="https://www.ine.es/dyngs/INEbase/operacion.htm?c=Estadistica_C&amp;cid=1254736177031&amp;idp=1254734710990&amp;menu=ultiDatos" TargetMode="External"/><Relationship Id="rId157" Type="http://schemas.openxmlformats.org/officeDocument/2006/relationships/hyperlink" Target="https://www.spain.info/es/consulta/destinos-turisticos-espana/" TargetMode="External"/><Relationship Id="rId178" Type="http://schemas.openxmlformats.org/officeDocument/2006/relationships/hyperlink" Target="https://www.ine.es/dyngs/INEbase/operacion.htm?c=Estadistica_C&amp;cid=1254736177031&amp;idp=1254734710990&amp;menu=ultiDatos" TargetMode="External"/><Relationship Id="rId61" Type="http://schemas.openxmlformats.org/officeDocument/2006/relationships/hyperlink" Target="https://www.spain.info/es/consulta/destinos-turisticos-espana/" TargetMode="External"/><Relationship Id="rId82" Type="http://schemas.openxmlformats.org/officeDocument/2006/relationships/hyperlink" Target="https://www.ine.es/dyngs/INEbase/operacion.htm?c=Estadistica_C&amp;cid=1254736177031&amp;idp=1254734710990&amp;menu=ultiDatos" TargetMode="External"/><Relationship Id="rId199" Type="http://schemas.openxmlformats.org/officeDocument/2006/relationships/hyperlink" Target="https://www.spain.info/es/consulta/destinos-turisticos-espana/" TargetMode="External"/><Relationship Id="rId203" Type="http://schemas.openxmlformats.org/officeDocument/2006/relationships/hyperlink" Target="https://www.spain.info/es/consulta/destinos-turisticos-espana/" TargetMode="External"/><Relationship Id="rId19" Type="http://schemas.openxmlformats.org/officeDocument/2006/relationships/hyperlink" Target="https://www.spain.info/es/consulta/destinos-turisticos-espana/" TargetMode="External"/><Relationship Id="rId224" Type="http://schemas.openxmlformats.org/officeDocument/2006/relationships/hyperlink" Target="https://www.ine.es/dyngs/INEbase/operacion.htm?c=Estadistica_C&amp;cid=1254736177031&amp;idp=1254734710990&amp;menu=ultiDatos" TargetMode="External"/><Relationship Id="rId245" Type="http://schemas.openxmlformats.org/officeDocument/2006/relationships/vmlDrawing" Target="../drawings/vmlDrawing1.vml"/><Relationship Id="rId30" Type="http://schemas.openxmlformats.org/officeDocument/2006/relationships/hyperlink" Target="https://www.ine.es/dyngs/INEbase/operacion.htm?c=Estadistica_C&amp;cid=1254736177031&amp;idp=1254734710990&amp;menu=ultiDatos" TargetMode="External"/><Relationship Id="rId105" Type="http://schemas.openxmlformats.org/officeDocument/2006/relationships/hyperlink" Target="https://www.spain.info/es/consulta/destinos-turisticos-espana/" TargetMode="External"/><Relationship Id="rId126" Type="http://schemas.openxmlformats.org/officeDocument/2006/relationships/hyperlink" Target="https://www.ine.es/dyngs/INEbase/operacion.htm?c=Estadistica_C&amp;cid=1254736177031&amp;idp=1254734710990&amp;menu=ultiDatos" TargetMode="External"/><Relationship Id="rId147" Type="http://schemas.openxmlformats.org/officeDocument/2006/relationships/hyperlink" Target="https://www.spain.info/es/consulta/destinos-turisticos-espana/" TargetMode="External"/><Relationship Id="rId168" Type="http://schemas.openxmlformats.org/officeDocument/2006/relationships/hyperlink" Target="https://www.ine.es/dyngs/INEbase/operacion.htm?c=Estadistica_C&amp;cid=1254736177031&amp;idp=1254734710990&amp;menu=ultiDatos" TargetMode="External"/><Relationship Id="rId51" Type="http://schemas.openxmlformats.org/officeDocument/2006/relationships/hyperlink" Target="https://www.spain.info/es/consulta/destinos-turisticos-espana/" TargetMode="External"/><Relationship Id="rId72" Type="http://schemas.openxmlformats.org/officeDocument/2006/relationships/hyperlink" Target="https://www.ine.es/dyngs/INEbase/operacion.htm?c=Estadistica_C&amp;cid=1254736177031&amp;idp=1254734710990&amp;menu=ultiDatos" TargetMode="External"/><Relationship Id="rId93" Type="http://schemas.openxmlformats.org/officeDocument/2006/relationships/hyperlink" Target="https://www.spain.info/es/consulta/destinos-turisticos-espana/" TargetMode="External"/><Relationship Id="rId189" Type="http://schemas.openxmlformats.org/officeDocument/2006/relationships/hyperlink" Target="https://www.spain.info/es/consulta/destinos-turisticos-espana/" TargetMode="External"/><Relationship Id="rId3" Type="http://schemas.openxmlformats.org/officeDocument/2006/relationships/hyperlink" Target="https://www.spain.info/es/consulta/destinos-turisticos-espana/" TargetMode="External"/><Relationship Id="rId214" Type="http://schemas.openxmlformats.org/officeDocument/2006/relationships/hyperlink" Target="https://www.ine.es/dyngs/INEbase/operacion.htm?c=Estadistica_C&amp;cid=1254736177031&amp;idp=1254734710990&amp;menu=ultiDatos" TargetMode="External"/><Relationship Id="rId235" Type="http://schemas.openxmlformats.org/officeDocument/2006/relationships/hyperlink" Target="https://www.spain.info/es/consulta/destinos-turisticos-espana/" TargetMode="External"/><Relationship Id="rId116" Type="http://schemas.openxmlformats.org/officeDocument/2006/relationships/hyperlink" Target="https://www.ine.es/dyngs/INEbase/operacion.htm?c=Estadistica_C&amp;cid=1254736177031&amp;idp=1254734710990&amp;menu=ultiDatos" TargetMode="External"/><Relationship Id="rId137" Type="http://schemas.openxmlformats.org/officeDocument/2006/relationships/hyperlink" Target="https://www.spain.info/es/consulta/destinos-turisticos-espana/" TargetMode="External"/><Relationship Id="rId158" Type="http://schemas.openxmlformats.org/officeDocument/2006/relationships/hyperlink" Target="https://www.ine.es/dyngs/INEbase/operacion.htm?c=Estadistica_C&amp;cid=1254736177031&amp;idp=1254734710990&amp;menu=ultiDatos" TargetMode="External"/><Relationship Id="rId20" Type="http://schemas.openxmlformats.org/officeDocument/2006/relationships/hyperlink" Target="https://www.ine.es/dyngs/INEbase/operacion.htm?c=Estadistica_C&amp;cid=1254736177031&amp;idp=1254734710990&amp;menu=ultiDatos" TargetMode="External"/><Relationship Id="rId41" Type="http://schemas.openxmlformats.org/officeDocument/2006/relationships/hyperlink" Target="https://www.spain.info/es/consulta/destinos-turisticos-espana/" TargetMode="External"/><Relationship Id="rId62" Type="http://schemas.openxmlformats.org/officeDocument/2006/relationships/hyperlink" Target="https://www.ine.es/dyngs/INEbase/operacion.htm?c=Estadistica_C&amp;cid=1254736177031&amp;idp=1254734710990&amp;menu=ultiDatos" TargetMode="External"/><Relationship Id="rId83" Type="http://schemas.openxmlformats.org/officeDocument/2006/relationships/hyperlink" Target="https://www.spain.info/es/consulta/destinos-turisticos-espana/" TargetMode="External"/><Relationship Id="rId179" Type="http://schemas.openxmlformats.org/officeDocument/2006/relationships/hyperlink" Target="https://www.spain.info/es/consulta/destinos-turisticos-espana/" TargetMode="External"/><Relationship Id="rId190" Type="http://schemas.openxmlformats.org/officeDocument/2006/relationships/hyperlink" Target="https://www.ine.es/dyngs/INEbase/operacion.htm?c=Estadistica_C&amp;cid=1254736177031&amp;idp=1254734710990&amp;menu=ultiDatos" TargetMode="External"/><Relationship Id="rId204" Type="http://schemas.openxmlformats.org/officeDocument/2006/relationships/hyperlink" Target="https://www.ine.es/dyngs/INEbase/operacion.htm?c=Estadistica_C&amp;cid=1254736177031&amp;idp=1254734710990&amp;menu=ultiDatos" TargetMode="External"/><Relationship Id="rId225" Type="http://schemas.openxmlformats.org/officeDocument/2006/relationships/hyperlink" Target="https://www.spain.info/es/consulta/destinos-turisticos-espana/" TargetMode="External"/><Relationship Id="rId246" Type="http://schemas.openxmlformats.org/officeDocument/2006/relationships/table" Target="../tables/table1.xml"/><Relationship Id="rId106" Type="http://schemas.openxmlformats.org/officeDocument/2006/relationships/hyperlink" Target="https://www.ine.es/dyngs/INEbase/operacion.htm?c=Estadistica_C&amp;cid=1254736177031&amp;idp=1254734710990&amp;menu=ultiDatos" TargetMode="External"/><Relationship Id="rId127" Type="http://schemas.openxmlformats.org/officeDocument/2006/relationships/hyperlink" Target="https://www.spain.info/es/consulta/destinos-turisticos-espana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youtube/v3/docs/search/list" TargetMode="External"/><Relationship Id="rId2" Type="http://schemas.openxmlformats.org/officeDocument/2006/relationships/hyperlink" Target="https://www.ine.es/dyngs/INEbase/operacion.htm?c=Estadistica_C&amp;cid=1254736177031&amp;idp=1254734710990&amp;menu=ultiDatos" TargetMode="External"/><Relationship Id="rId1" Type="http://schemas.openxmlformats.org/officeDocument/2006/relationships/hyperlink" Target="https://www.spain.info/es/consulta/destinos-turisticos-espa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"/>
  <sheetViews>
    <sheetView showGridLines="0" tabSelected="1" workbookViewId="0">
      <pane xSplit="2" ySplit="1" topLeftCell="C19" activePane="bottomRight" state="frozen"/>
      <selection pane="topRight"/>
      <selection pane="bottomLeft"/>
      <selection pane="bottomRight" activeCell="A24" sqref="A24"/>
    </sheetView>
  </sheetViews>
  <sheetFormatPr baseColWidth="10" defaultColWidth="9.06640625" defaultRowHeight="14.25" x14ac:dyDescent="0.45"/>
  <cols>
    <col min="1" max="1" width="12" customWidth="1"/>
    <col min="2" max="2" width="14" customWidth="1"/>
    <col min="3" max="3" width="28" customWidth="1"/>
    <col min="4" max="4" width="22" customWidth="1"/>
    <col min="5" max="5" width="28" customWidth="1"/>
    <col min="6" max="6" width="25" customWidth="1"/>
    <col min="7" max="7" width="10" customWidth="1"/>
    <col min="8" max="8" width="11" customWidth="1"/>
    <col min="9" max="9" width="42" customWidth="1"/>
    <col min="10" max="10" width="45" customWidth="1"/>
    <col min="11" max="12" width="42" customWidth="1"/>
    <col min="13" max="13" width="12" customWidth="1"/>
    <col min="14" max="14" width="18" customWidth="1"/>
    <col min="15" max="15" width="14" customWidth="1"/>
    <col min="16" max="16" width="22" customWidth="1"/>
    <col min="17" max="17" width="18" customWidth="1"/>
    <col min="18" max="18" width="15" customWidth="1"/>
    <col min="19" max="19" width="10" customWidth="1"/>
    <col min="20" max="20" width="16" customWidth="1"/>
    <col min="21" max="22" width="48" customWidth="1"/>
    <col min="23" max="23" width="35" customWidth="1"/>
  </cols>
  <sheetData>
    <row r="1" spans="1:23" ht="34.049999999999997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2.75" x14ac:dyDescent="0.45">
      <c r="A2" s="2">
        <v>1</v>
      </c>
      <c r="B2" s="3" t="str">
        <f t="shared" ref="B2:B33" si="0">"ES-"&amp;TEXT(A2,"000")</f>
        <v>ES-001</v>
      </c>
      <c r="C2" s="2" t="s">
        <v>23</v>
      </c>
      <c r="D2" s="2" t="s">
        <v>23</v>
      </c>
      <c r="E2" s="2" t="s">
        <v>24</v>
      </c>
      <c r="F2" s="4" t="s">
        <v>25</v>
      </c>
      <c r="G2" s="2">
        <v>1</v>
      </c>
      <c r="H2" s="3">
        <f t="shared" ref="H2:H33" si="1">MOD(A2-1,10)+1</f>
        <v>1</v>
      </c>
      <c r="I2" s="5" t="str">
        <f t="shared" ref="I2:I33" si="2">CHAR(34)&amp;C2&amp;IF(C2=D2,""," "&amp;D2)&amp;CHAR(34)&amp;" turismo"</f>
        <v>"Sevilla" turismo</v>
      </c>
      <c r="J2" s="5" t="str">
        <f t="shared" ref="J2:J33" si="3">CHAR(34)&amp;C2&amp;IF(C2=D2,""," "&amp;D2)&amp;CHAR(34)&amp;" opiniones viaje"</f>
        <v>"Sevilla" opiniones viaje</v>
      </c>
      <c r="K2" s="5" t="str">
        <f t="shared" ref="K2:K33" si="4">CHAR(34)&amp;C2&amp;" Spain"&amp;CHAR(34)&amp;" travel review"</f>
        <v>"Sevilla Spain" travel review</v>
      </c>
      <c r="L2" s="5" t="str">
        <f t="shared" ref="L2:L33" si="5">CHAR(34)&amp;C2&amp;" Spain"&amp;CHAR(34)&amp;" things to do"</f>
        <v>"Sevilla Spain" things to do</v>
      </c>
      <c r="M2" s="2" t="s">
        <v>26</v>
      </c>
      <c r="N2" s="2" t="s">
        <v>27</v>
      </c>
      <c r="O2" s="6">
        <v>44927</v>
      </c>
      <c r="P2" s="2">
        <v>25</v>
      </c>
      <c r="Q2" s="2" t="s">
        <v>28</v>
      </c>
      <c r="R2" s="2">
        <v>0</v>
      </c>
      <c r="S2" s="2">
        <v>1</v>
      </c>
      <c r="T2" s="2">
        <v>30</v>
      </c>
      <c r="U2" s="7" t="s">
        <v>29</v>
      </c>
      <c r="V2" s="7" t="s">
        <v>30</v>
      </c>
      <c r="W2" s="8"/>
    </row>
    <row r="3" spans="1:23" ht="42.75" x14ac:dyDescent="0.45">
      <c r="A3" s="2">
        <v>2</v>
      </c>
      <c r="B3" s="3" t="str">
        <f t="shared" si="0"/>
        <v>ES-002</v>
      </c>
      <c r="C3" s="2" t="s">
        <v>31</v>
      </c>
      <c r="D3" s="2" t="s">
        <v>31</v>
      </c>
      <c r="E3" s="2" t="s">
        <v>24</v>
      </c>
      <c r="F3" s="4" t="s">
        <v>32</v>
      </c>
      <c r="G3" s="2">
        <v>1</v>
      </c>
      <c r="H3" s="3">
        <f t="shared" si="1"/>
        <v>2</v>
      </c>
      <c r="I3" s="5" t="str">
        <f t="shared" si="2"/>
        <v>"Córdoba" turismo</v>
      </c>
      <c r="J3" s="5" t="str">
        <f t="shared" si="3"/>
        <v>"Córdoba" opiniones viaje</v>
      </c>
      <c r="K3" s="5" t="str">
        <f t="shared" si="4"/>
        <v>"Córdoba Spain" travel review</v>
      </c>
      <c r="L3" s="5" t="str">
        <f t="shared" si="5"/>
        <v>"Córdoba Spain" things to do</v>
      </c>
      <c r="M3" s="2" t="s">
        <v>26</v>
      </c>
      <c r="N3" s="2" t="s">
        <v>27</v>
      </c>
      <c r="O3" s="6">
        <v>44927</v>
      </c>
      <c r="P3" s="2">
        <v>25</v>
      </c>
      <c r="Q3" s="2" t="s">
        <v>28</v>
      </c>
      <c r="R3" s="2">
        <v>0</v>
      </c>
      <c r="S3" s="2">
        <v>1</v>
      </c>
      <c r="T3" s="2">
        <v>30</v>
      </c>
      <c r="U3" s="7" t="s">
        <v>29</v>
      </c>
      <c r="V3" s="7" t="s">
        <v>30</v>
      </c>
      <c r="W3" s="8"/>
    </row>
    <row r="4" spans="1:23" ht="42.75" x14ac:dyDescent="0.45">
      <c r="A4" s="2">
        <v>3</v>
      </c>
      <c r="B4" s="3" t="str">
        <f t="shared" si="0"/>
        <v>ES-003</v>
      </c>
      <c r="C4" s="2" t="s">
        <v>33</v>
      </c>
      <c r="D4" s="2" t="s">
        <v>33</v>
      </c>
      <c r="E4" s="2" t="s">
        <v>24</v>
      </c>
      <c r="F4" s="4" t="s">
        <v>32</v>
      </c>
      <c r="G4" s="2">
        <v>1</v>
      </c>
      <c r="H4" s="3">
        <f t="shared" si="1"/>
        <v>3</v>
      </c>
      <c r="I4" s="5" t="str">
        <f t="shared" si="2"/>
        <v>"Granada" turismo</v>
      </c>
      <c r="J4" s="5" t="str">
        <f t="shared" si="3"/>
        <v>"Granada" opiniones viaje</v>
      </c>
      <c r="K4" s="5" t="str">
        <f t="shared" si="4"/>
        <v>"Granada Spain" travel review</v>
      </c>
      <c r="L4" s="5" t="str">
        <f t="shared" si="5"/>
        <v>"Granada Spain" things to do</v>
      </c>
      <c r="M4" s="2" t="s">
        <v>26</v>
      </c>
      <c r="N4" s="2" t="s">
        <v>27</v>
      </c>
      <c r="O4" s="6">
        <v>44927</v>
      </c>
      <c r="P4" s="2">
        <v>25</v>
      </c>
      <c r="Q4" s="2" t="s">
        <v>28</v>
      </c>
      <c r="R4" s="2">
        <v>0</v>
      </c>
      <c r="S4" s="2">
        <v>1</v>
      </c>
      <c r="T4" s="2">
        <v>30</v>
      </c>
      <c r="U4" s="7" t="s">
        <v>29</v>
      </c>
      <c r="V4" s="7" t="s">
        <v>30</v>
      </c>
      <c r="W4" s="8"/>
    </row>
    <row r="5" spans="1:23" ht="42.75" x14ac:dyDescent="0.45">
      <c r="A5" s="2">
        <v>4</v>
      </c>
      <c r="B5" s="3" t="str">
        <f t="shared" si="0"/>
        <v>ES-004</v>
      </c>
      <c r="C5" s="2" t="s">
        <v>34</v>
      </c>
      <c r="D5" s="2" t="s">
        <v>34</v>
      </c>
      <c r="E5" s="2" t="s">
        <v>24</v>
      </c>
      <c r="F5" s="4" t="s">
        <v>35</v>
      </c>
      <c r="G5" s="2">
        <v>1</v>
      </c>
      <c r="H5" s="3">
        <f t="shared" si="1"/>
        <v>4</v>
      </c>
      <c r="I5" s="5" t="str">
        <f t="shared" si="2"/>
        <v>"Málaga" turismo</v>
      </c>
      <c r="J5" s="5" t="str">
        <f t="shared" si="3"/>
        <v>"Málaga" opiniones viaje</v>
      </c>
      <c r="K5" s="5" t="str">
        <f t="shared" si="4"/>
        <v>"Málaga Spain" travel review</v>
      </c>
      <c r="L5" s="5" t="str">
        <f t="shared" si="5"/>
        <v>"Málaga Spain" things to do</v>
      </c>
      <c r="M5" s="2" t="s">
        <v>26</v>
      </c>
      <c r="N5" s="2" t="s">
        <v>27</v>
      </c>
      <c r="O5" s="6">
        <v>44927</v>
      </c>
      <c r="P5" s="2">
        <v>25</v>
      </c>
      <c r="Q5" s="2" t="s">
        <v>28</v>
      </c>
      <c r="R5" s="2">
        <v>0</v>
      </c>
      <c r="S5" s="2">
        <v>1</v>
      </c>
      <c r="T5" s="2">
        <v>30</v>
      </c>
      <c r="U5" s="7" t="s">
        <v>29</v>
      </c>
      <c r="V5" s="7" t="s">
        <v>30</v>
      </c>
      <c r="W5" s="8"/>
    </row>
    <row r="6" spans="1:23" ht="42.75" x14ac:dyDescent="0.45">
      <c r="A6" s="2">
        <v>5</v>
      </c>
      <c r="B6" s="3" t="str">
        <f t="shared" si="0"/>
        <v>ES-005</v>
      </c>
      <c r="C6" s="2" t="s">
        <v>36</v>
      </c>
      <c r="D6" s="2" t="s">
        <v>34</v>
      </c>
      <c r="E6" s="2" t="s">
        <v>24</v>
      </c>
      <c r="F6" s="4" t="s">
        <v>37</v>
      </c>
      <c r="G6" s="2">
        <v>1</v>
      </c>
      <c r="H6" s="3">
        <f t="shared" si="1"/>
        <v>5</v>
      </c>
      <c r="I6" s="5" t="str">
        <f t="shared" si="2"/>
        <v>"Marbella Málaga" turismo</v>
      </c>
      <c r="J6" s="5" t="str">
        <f t="shared" si="3"/>
        <v>"Marbella Málaga" opiniones viaje</v>
      </c>
      <c r="K6" s="5" t="str">
        <f t="shared" si="4"/>
        <v>"Marbella Spain" travel review</v>
      </c>
      <c r="L6" s="5" t="str">
        <f t="shared" si="5"/>
        <v>"Marbella Spain" things to do</v>
      </c>
      <c r="M6" s="2" t="s">
        <v>26</v>
      </c>
      <c r="N6" s="2" t="s">
        <v>27</v>
      </c>
      <c r="O6" s="6">
        <v>44927</v>
      </c>
      <c r="P6" s="2">
        <v>25</v>
      </c>
      <c r="Q6" s="2" t="s">
        <v>28</v>
      </c>
      <c r="R6" s="2">
        <v>0</v>
      </c>
      <c r="S6" s="2">
        <v>1</v>
      </c>
      <c r="T6" s="2">
        <v>30</v>
      </c>
      <c r="U6" s="7" t="s">
        <v>29</v>
      </c>
      <c r="V6" s="7" t="s">
        <v>30</v>
      </c>
      <c r="W6" s="8"/>
    </row>
    <row r="7" spans="1:23" ht="42.75" x14ac:dyDescent="0.45">
      <c r="A7" s="2">
        <v>6</v>
      </c>
      <c r="B7" s="3" t="str">
        <f t="shared" si="0"/>
        <v>ES-006</v>
      </c>
      <c r="C7" s="2" t="s">
        <v>38</v>
      </c>
      <c r="D7" s="2" t="s">
        <v>34</v>
      </c>
      <c r="E7" s="2" t="s">
        <v>24</v>
      </c>
      <c r="F7" s="4" t="s">
        <v>39</v>
      </c>
      <c r="G7" s="2">
        <v>2</v>
      </c>
      <c r="H7" s="3">
        <f t="shared" si="1"/>
        <v>6</v>
      </c>
      <c r="I7" s="5" t="str">
        <f t="shared" si="2"/>
        <v>"Ronda Málaga" turismo</v>
      </c>
      <c r="J7" s="5" t="str">
        <f t="shared" si="3"/>
        <v>"Ronda Málaga" opiniones viaje</v>
      </c>
      <c r="K7" s="5" t="str">
        <f t="shared" si="4"/>
        <v>"Ronda Spain" travel review</v>
      </c>
      <c r="L7" s="5" t="str">
        <f t="shared" si="5"/>
        <v>"Ronda Spain" things to do</v>
      </c>
      <c r="M7" s="2" t="s">
        <v>26</v>
      </c>
      <c r="N7" s="2" t="s">
        <v>27</v>
      </c>
      <c r="O7" s="6">
        <v>44927</v>
      </c>
      <c r="P7" s="2">
        <v>25</v>
      </c>
      <c r="Q7" s="2" t="s">
        <v>28</v>
      </c>
      <c r="R7" s="2">
        <v>0</v>
      </c>
      <c r="S7" s="2">
        <v>1</v>
      </c>
      <c r="T7" s="2">
        <v>30</v>
      </c>
      <c r="U7" s="7" t="s">
        <v>29</v>
      </c>
      <c r="V7" s="7" t="s">
        <v>30</v>
      </c>
      <c r="W7" s="8"/>
    </row>
    <row r="8" spans="1:23" ht="42.75" x14ac:dyDescent="0.45">
      <c r="A8" s="2">
        <v>7</v>
      </c>
      <c r="B8" s="3" t="str">
        <f t="shared" si="0"/>
        <v>ES-007</v>
      </c>
      <c r="C8" s="2" t="s">
        <v>40</v>
      </c>
      <c r="D8" s="2" t="s">
        <v>40</v>
      </c>
      <c r="E8" s="2" t="s">
        <v>24</v>
      </c>
      <c r="F8" s="4" t="s">
        <v>41</v>
      </c>
      <c r="G8" s="2">
        <v>1</v>
      </c>
      <c r="H8" s="3">
        <f t="shared" si="1"/>
        <v>7</v>
      </c>
      <c r="I8" s="5" t="str">
        <f t="shared" si="2"/>
        <v>"Cádiz" turismo</v>
      </c>
      <c r="J8" s="5" t="str">
        <f t="shared" si="3"/>
        <v>"Cádiz" opiniones viaje</v>
      </c>
      <c r="K8" s="5" t="str">
        <f t="shared" si="4"/>
        <v>"Cádiz Spain" travel review</v>
      </c>
      <c r="L8" s="5" t="str">
        <f t="shared" si="5"/>
        <v>"Cádiz Spain" things to do</v>
      </c>
      <c r="M8" s="2" t="s">
        <v>26</v>
      </c>
      <c r="N8" s="2" t="s">
        <v>27</v>
      </c>
      <c r="O8" s="6">
        <v>44927</v>
      </c>
      <c r="P8" s="2">
        <v>25</v>
      </c>
      <c r="Q8" s="2" t="s">
        <v>28</v>
      </c>
      <c r="R8" s="2">
        <v>0</v>
      </c>
      <c r="S8" s="2">
        <v>1</v>
      </c>
      <c r="T8" s="2">
        <v>30</v>
      </c>
      <c r="U8" s="7" t="s">
        <v>29</v>
      </c>
      <c r="V8" s="7" t="s">
        <v>30</v>
      </c>
      <c r="W8" s="8"/>
    </row>
    <row r="9" spans="1:23" ht="42.75" x14ac:dyDescent="0.45">
      <c r="A9" s="2">
        <v>8</v>
      </c>
      <c r="B9" s="3" t="str">
        <f t="shared" si="0"/>
        <v>ES-008</v>
      </c>
      <c r="C9" s="2" t="s">
        <v>42</v>
      </c>
      <c r="D9" s="2" t="s">
        <v>40</v>
      </c>
      <c r="E9" s="2" t="s">
        <v>24</v>
      </c>
      <c r="F9" s="4" t="s">
        <v>43</v>
      </c>
      <c r="G9" s="2">
        <v>2</v>
      </c>
      <c r="H9" s="3">
        <f t="shared" si="1"/>
        <v>8</v>
      </c>
      <c r="I9" s="5" t="str">
        <f t="shared" si="2"/>
        <v>"Jerez de la Frontera Cádiz" turismo</v>
      </c>
      <c r="J9" s="5" t="str">
        <f t="shared" si="3"/>
        <v>"Jerez de la Frontera Cádiz" opiniones viaje</v>
      </c>
      <c r="K9" s="5" t="str">
        <f t="shared" si="4"/>
        <v>"Jerez de la Frontera Spain" travel review</v>
      </c>
      <c r="L9" s="5" t="str">
        <f t="shared" si="5"/>
        <v>"Jerez de la Frontera Spain" things to do</v>
      </c>
      <c r="M9" s="2" t="s">
        <v>26</v>
      </c>
      <c r="N9" s="2" t="s">
        <v>27</v>
      </c>
      <c r="O9" s="6">
        <v>44927</v>
      </c>
      <c r="P9" s="2">
        <v>25</v>
      </c>
      <c r="Q9" s="2" t="s">
        <v>28</v>
      </c>
      <c r="R9" s="2">
        <v>0</v>
      </c>
      <c r="S9" s="2">
        <v>1</v>
      </c>
      <c r="T9" s="2">
        <v>30</v>
      </c>
      <c r="U9" s="7" t="s">
        <v>29</v>
      </c>
      <c r="V9" s="7" t="s">
        <v>30</v>
      </c>
      <c r="W9" s="8"/>
    </row>
    <row r="10" spans="1:23" ht="42.75" x14ac:dyDescent="0.45">
      <c r="A10" s="2">
        <v>9</v>
      </c>
      <c r="B10" s="3" t="str">
        <f t="shared" si="0"/>
        <v>ES-009</v>
      </c>
      <c r="C10" s="2" t="s">
        <v>44</v>
      </c>
      <c r="D10" s="2" t="s">
        <v>44</v>
      </c>
      <c r="E10" s="2" t="s">
        <v>24</v>
      </c>
      <c r="F10" s="4" t="s">
        <v>35</v>
      </c>
      <c r="G10" s="2">
        <v>2</v>
      </c>
      <c r="H10" s="3">
        <f t="shared" si="1"/>
        <v>9</v>
      </c>
      <c r="I10" s="5" t="str">
        <f t="shared" si="2"/>
        <v>"Almería" turismo</v>
      </c>
      <c r="J10" s="5" t="str">
        <f t="shared" si="3"/>
        <v>"Almería" opiniones viaje</v>
      </c>
      <c r="K10" s="5" t="str">
        <f t="shared" si="4"/>
        <v>"Almería Spain" travel review</v>
      </c>
      <c r="L10" s="5" t="str">
        <f t="shared" si="5"/>
        <v>"Almería Spain" things to do</v>
      </c>
      <c r="M10" s="2" t="s">
        <v>26</v>
      </c>
      <c r="N10" s="2" t="s">
        <v>27</v>
      </c>
      <c r="O10" s="6">
        <v>44927</v>
      </c>
      <c r="P10" s="2">
        <v>25</v>
      </c>
      <c r="Q10" s="2" t="s">
        <v>28</v>
      </c>
      <c r="R10" s="2">
        <v>0</v>
      </c>
      <c r="S10" s="2">
        <v>1</v>
      </c>
      <c r="T10" s="2">
        <v>30</v>
      </c>
      <c r="U10" s="7" t="s">
        <v>29</v>
      </c>
      <c r="V10" s="7" t="s">
        <v>30</v>
      </c>
      <c r="W10" s="8"/>
    </row>
    <row r="11" spans="1:23" ht="42.75" x14ac:dyDescent="0.45">
      <c r="A11" s="2">
        <v>10</v>
      </c>
      <c r="B11" s="3" t="str">
        <f t="shared" si="0"/>
        <v>ES-010</v>
      </c>
      <c r="C11" s="2" t="s">
        <v>45</v>
      </c>
      <c r="D11" s="2" t="s">
        <v>34</v>
      </c>
      <c r="E11" s="2" t="s">
        <v>24</v>
      </c>
      <c r="F11" s="4" t="s">
        <v>46</v>
      </c>
      <c r="G11" s="2">
        <v>2</v>
      </c>
      <c r="H11" s="3">
        <f t="shared" si="1"/>
        <v>10</v>
      </c>
      <c r="I11" s="5" t="str">
        <f t="shared" si="2"/>
        <v>"Nerja Málaga" turismo</v>
      </c>
      <c r="J11" s="5" t="str">
        <f t="shared" si="3"/>
        <v>"Nerja Málaga" opiniones viaje</v>
      </c>
      <c r="K11" s="5" t="str">
        <f t="shared" si="4"/>
        <v>"Nerja Spain" travel review</v>
      </c>
      <c r="L11" s="5" t="str">
        <f t="shared" si="5"/>
        <v>"Nerja Spain" things to do</v>
      </c>
      <c r="M11" s="2" t="s">
        <v>26</v>
      </c>
      <c r="N11" s="2" t="s">
        <v>27</v>
      </c>
      <c r="O11" s="6">
        <v>44927</v>
      </c>
      <c r="P11" s="2">
        <v>25</v>
      </c>
      <c r="Q11" s="2" t="s">
        <v>28</v>
      </c>
      <c r="R11" s="2">
        <v>0</v>
      </c>
      <c r="S11" s="2">
        <v>1</v>
      </c>
      <c r="T11" s="2">
        <v>30</v>
      </c>
      <c r="U11" s="7" t="s">
        <v>29</v>
      </c>
      <c r="V11" s="7" t="s">
        <v>30</v>
      </c>
      <c r="W11" s="8"/>
    </row>
    <row r="12" spans="1:23" ht="42.75" x14ac:dyDescent="0.45">
      <c r="A12" s="2">
        <v>11</v>
      </c>
      <c r="B12" s="3" t="str">
        <f t="shared" si="0"/>
        <v>ES-011</v>
      </c>
      <c r="C12" s="2" t="s">
        <v>47</v>
      </c>
      <c r="D12" s="2" t="s">
        <v>40</v>
      </c>
      <c r="E12" s="2" t="s">
        <v>24</v>
      </c>
      <c r="F12" s="4" t="s">
        <v>48</v>
      </c>
      <c r="G12" s="2">
        <v>2</v>
      </c>
      <c r="H12" s="3">
        <f t="shared" si="1"/>
        <v>1</v>
      </c>
      <c r="I12" s="5" t="str">
        <f t="shared" si="2"/>
        <v>"Tarifa Cádiz" turismo</v>
      </c>
      <c r="J12" s="5" t="str">
        <f t="shared" si="3"/>
        <v>"Tarifa Cádiz" opiniones viaje</v>
      </c>
      <c r="K12" s="5" t="str">
        <f t="shared" si="4"/>
        <v>"Tarifa Spain" travel review</v>
      </c>
      <c r="L12" s="5" t="str">
        <f t="shared" si="5"/>
        <v>"Tarifa Spain" things to do</v>
      </c>
      <c r="M12" s="2" t="s">
        <v>26</v>
      </c>
      <c r="N12" s="2" t="s">
        <v>27</v>
      </c>
      <c r="O12" s="6">
        <v>44927</v>
      </c>
      <c r="P12" s="2">
        <v>25</v>
      </c>
      <c r="Q12" s="2" t="s">
        <v>28</v>
      </c>
      <c r="R12" s="2">
        <v>0</v>
      </c>
      <c r="S12" s="2">
        <v>1</v>
      </c>
      <c r="T12" s="2">
        <v>30</v>
      </c>
      <c r="U12" s="7" t="s">
        <v>29</v>
      </c>
      <c r="V12" s="7" t="s">
        <v>30</v>
      </c>
      <c r="W12" s="8"/>
    </row>
    <row r="13" spans="1:23" ht="42.75" x14ac:dyDescent="0.45">
      <c r="A13" s="2">
        <v>12</v>
      </c>
      <c r="B13" s="3" t="str">
        <f t="shared" si="0"/>
        <v>ES-012</v>
      </c>
      <c r="C13" s="2" t="s">
        <v>49</v>
      </c>
      <c r="D13" s="2" t="s">
        <v>50</v>
      </c>
      <c r="E13" s="2" t="s">
        <v>24</v>
      </c>
      <c r="F13" s="4" t="s">
        <v>32</v>
      </c>
      <c r="G13" s="2">
        <v>2</v>
      </c>
      <c r="H13" s="3">
        <f t="shared" si="1"/>
        <v>2</v>
      </c>
      <c r="I13" s="5" t="str">
        <f t="shared" si="2"/>
        <v>"Úbeda Jaén" turismo</v>
      </c>
      <c r="J13" s="5" t="str">
        <f t="shared" si="3"/>
        <v>"Úbeda Jaén" opiniones viaje</v>
      </c>
      <c r="K13" s="5" t="str">
        <f t="shared" si="4"/>
        <v>"Úbeda Spain" travel review</v>
      </c>
      <c r="L13" s="5" t="str">
        <f t="shared" si="5"/>
        <v>"Úbeda Spain" things to do</v>
      </c>
      <c r="M13" s="2" t="s">
        <v>26</v>
      </c>
      <c r="N13" s="2" t="s">
        <v>27</v>
      </c>
      <c r="O13" s="6">
        <v>44927</v>
      </c>
      <c r="P13" s="2">
        <v>25</v>
      </c>
      <c r="Q13" s="2" t="s">
        <v>28</v>
      </c>
      <c r="R13" s="2">
        <v>0</v>
      </c>
      <c r="S13" s="2">
        <v>1</v>
      </c>
      <c r="T13" s="2">
        <v>30</v>
      </c>
      <c r="U13" s="7" t="s">
        <v>29</v>
      </c>
      <c r="V13" s="7" t="s">
        <v>30</v>
      </c>
      <c r="W13" s="8"/>
    </row>
    <row r="14" spans="1:23" ht="42.75" x14ac:dyDescent="0.45">
      <c r="A14" s="2">
        <v>13</v>
      </c>
      <c r="B14" s="3" t="str">
        <f t="shared" si="0"/>
        <v>ES-013</v>
      </c>
      <c r="C14" s="2" t="s">
        <v>51</v>
      </c>
      <c r="D14" s="2" t="s">
        <v>50</v>
      </c>
      <c r="E14" s="2" t="s">
        <v>24</v>
      </c>
      <c r="F14" s="4" t="s">
        <v>32</v>
      </c>
      <c r="G14" s="2">
        <v>2</v>
      </c>
      <c r="H14" s="3">
        <f t="shared" si="1"/>
        <v>3</v>
      </c>
      <c r="I14" s="5" t="str">
        <f t="shared" si="2"/>
        <v>"Baeza Jaén" turismo</v>
      </c>
      <c r="J14" s="5" t="str">
        <f t="shared" si="3"/>
        <v>"Baeza Jaén" opiniones viaje</v>
      </c>
      <c r="K14" s="5" t="str">
        <f t="shared" si="4"/>
        <v>"Baeza Spain" travel review</v>
      </c>
      <c r="L14" s="5" t="str">
        <f t="shared" si="5"/>
        <v>"Baeza Spain" things to do</v>
      </c>
      <c r="M14" s="2" t="s">
        <v>26</v>
      </c>
      <c r="N14" s="2" t="s">
        <v>27</v>
      </c>
      <c r="O14" s="6">
        <v>44927</v>
      </c>
      <c r="P14" s="2">
        <v>25</v>
      </c>
      <c r="Q14" s="2" t="s">
        <v>28</v>
      </c>
      <c r="R14" s="2">
        <v>0</v>
      </c>
      <c r="S14" s="2">
        <v>1</v>
      </c>
      <c r="T14" s="2">
        <v>30</v>
      </c>
      <c r="U14" s="7" t="s">
        <v>29</v>
      </c>
      <c r="V14" s="7" t="s">
        <v>30</v>
      </c>
      <c r="W14" s="8"/>
    </row>
    <row r="15" spans="1:23" ht="42.75" x14ac:dyDescent="0.45">
      <c r="A15" s="2">
        <v>14</v>
      </c>
      <c r="B15" s="3" t="str">
        <f t="shared" si="0"/>
        <v>ES-014</v>
      </c>
      <c r="C15" s="2" t="s">
        <v>52</v>
      </c>
      <c r="D15" s="2" t="s">
        <v>52</v>
      </c>
      <c r="E15" s="2" t="s">
        <v>53</v>
      </c>
      <c r="F15" s="4" t="s">
        <v>25</v>
      </c>
      <c r="G15" s="2">
        <v>1</v>
      </c>
      <c r="H15" s="3">
        <f t="shared" si="1"/>
        <v>4</v>
      </c>
      <c r="I15" s="5" t="str">
        <f t="shared" si="2"/>
        <v>"Zaragoza" turismo</v>
      </c>
      <c r="J15" s="5" t="str">
        <f t="shared" si="3"/>
        <v>"Zaragoza" opiniones viaje</v>
      </c>
      <c r="K15" s="5" t="str">
        <f t="shared" si="4"/>
        <v>"Zaragoza Spain" travel review</v>
      </c>
      <c r="L15" s="5" t="str">
        <f t="shared" si="5"/>
        <v>"Zaragoza Spain" things to do</v>
      </c>
      <c r="M15" s="2" t="s">
        <v>26</v>
      </c>
      <c r="N15" s="2" t="s">
        <v>27</v>
      </c>
      <c r="O15" s="6">
        <v>44927</v>
      </c>
      <c r="P15" s="2">
        <v>25</v>
      </c>
      <c r="Q15" s="2" t="s">
        <v>28</v>
      </c>
      <c r="R15" s="2">
        <v>0</v>
      </c>
      <c r="S15" s="2">
        <v>1</v>
      </c>
      <c r="T15" s="2">
        <v>30</v>
      </c>
      <c r="U15" s="7" t="s">
        <v>29</v>
      </c>
      <c r="V15" s="7" t="s">
        <v>30</v>
      </c>
      <c r="W15" s="8"/>
    </row>
    <row r="16" spans="1:23" ht="42.75" x14ac:dyDescent="0.45">
      <c r="A16" s="2">
        <v>15</v>
      </c>
      <c r="B16" s="3" t="str">
        <f t="shared" si="0"/>
        <v>ES-015</v>
      </c>
      <c r="C16" s="2" t="s">
        <v>54</v>
      </c>
      <c r="D16" s="2" t="s">
        <v>54</v>
      </c>
      <c r="E16" s="2" t="s">
        <v>53</v>
      </c>
      <c r="F16" s="4" t="s">
        <v>55</v>
      </c>
      <c r="G16" s="2">
        <v>2</v>
      </c>
      <c r="H16" s="3">
        <f t="shared" si="1"/>
        <v>5</v>
      </c>
      <c r="I16" s="5" t="str">
        <f t="shared" si="2"/>
        <v>"Huesca" turismo</v>
      </c>
      <c r="J16" s="5" t="str">
        <f t="shared" si="3"/>
        <v>"Huesca" opiniones viaje</v>
      </c>
      <c r="K16" s="5" t="str">
        <f t="shared" si="4"/>
        <v>"Huesca Spain" travel review</v>
      </c>
      <c r="L16" s="5" t="str">
        <f t="shared" si="5"/>
        <v>"Huesca Spain" things to do</v>
      </c>
      <c r="M16" s="2" t="s">
        <v>26</v>
      </c>
      <c r="N16" s="2" t="s">
        <v>27</v>
      </c>
      <c r="O16" s="6">
        <v>44927</v>
      </c>
      <c r="P16" s="2">
        <v>25</v>
      </c>
      <c r="Q16" s="2" t="s">
        <v>28</v>
      </c>
      <c r="R16" s="2">
        <v>0</v>
      </c>
      <c r="S16" s="2">
        <v>1</v>
      </c>
      <c r="T16" s="2">
        <v>30</v>
      </c>
      <c r="U16" s="7" t="s">
        <v>29</v>
      </c>
      <c r="V16" s="7" t="s">
        <v>30</v>
      </c>
      <c r="W16" s="8"/>
    </row>
    <row r="17" spans="1:23" ht="42.75" x14ac:dyDescent="0.45">
      <c r="A17" s="2">
        <v>16</v>
      </c>
      <c r="B17" s="3" t="str">
        <f t="shared" si="0"/>
        <v>ES-016</v>
      </c>
      <c r="C17" s="2" t="s">
        <v>56</v>
      </c>
      <c r="D17" s="2" t="s">
        <v>56</v>
      </c>
      <c r="E17" s="2" t="s">
        <v>53</v>
      </c>
      <c r="F17" s="4" t="s">
        <v>32</v>
      </c>
      <c r="G17" s="2">
        <v>2</v>
      </c>
      <c r="H17" s="3">
        <f t="shared" si="1"/>
        <v>6</v>
      </c>
      <c r="I17" s="5" t="str">
        <f t="shared" si="2"/>
        <v>"Teruel" turismo</v>
      </c>
      <c r="J17" s="5" t="str">
        <f t="shared" si="3"/>
        <v>"Teruel" opiniones viaje</v>
      </c>
      <c r="K17" s="5" t="str">
        <f t="shared" si="4"/>
        <v>"Teruel Spain" travel review</v>
      </c>
      <c r="L17" s="5" t="str">
        <f t="shared" si="5"/>
        <v>"Teruel Spain" things to do</v>
      </c>
      <c r="M17" s="2" t="s">
        <v>26</v>
      </c>
      <c r="N17" s="2" t="s">
        <v>27</v>
      </c>
      <c r="O17" s="6">
        <v>44927</v>
      </c>
      <c r="P17" s="2">
        <v>25</v>
      </c>
      <c r="Q17" s="2" t="s">
        <v>28</v>
      </c>
      <c r="R17" s="2">
        <v>0</v>
      </c>
      <c r="S17" s="2">
        <v>1</v>
      </c>
      <c r="T17" s="2">
        <v>30</v>
      </c>
      <c r="U17" s="7" t="s">
        <v>29</v>
      </c>
      <c r="V17" s="7" t="s">
        <v>30</v>
      </c>
      <c r="W17" s="8"/>
    </row>
    <row r="18" spans="1:23" ht="42.75" x14ac:dyDescent="0.45">
      <c r="A18" s="2">
        <v>17</v>
      </c>
      <c r="B18" s="3" t="str">
        <f t="shared" si="0"/>
        <v>ES-017</v>
      </c>
      <c r="C18" s="2" t="s">
        <v>57</v>
      </c>
      <c r="D18" s="2" t="s">
        <v>54</v>
      </c>
      <c r="E18" s="2" t="s">
        <v>53</v>
      </c>
      <c r="F18" s="4" t="s">
        <v>58</v>
      </c>
      <c r="G18" s="2">
        <v>2</v>
      </c>
      <c r="H18" s="3">
        <f t="shared" si="1"/>
        <v>7</v>
      </c>
      <c r="I18" s="5" t="str">
        <f t="shared" si="2"/>
        <v>"Jaca Huesca" turismo</v>
      </c>
      <c r="J18" s="5" t="str">
        <f t="shared" si="3"/>
        <v>"Jaca Huesca" opiniones viaje</v>
      </c>
      <c r="K18" s="5" t="str">
        <f t="shared" si="4"/>
        <v>"Jaca Spain" travel review</v>
      </c>
      <c r="L18" s="5" t="str">
        <f t="shared" si="5"/>
        <v>"Jaca Spain" things to do</v>
      </c>
      <c r="M18" s="2" t="s">
        <v>26</v>
      </c>
      <c r="N18" s="2" t="s">
        <v>27</v>
      </c>
      <c r="O18" s="6">
        <v>44927</v>
      </c>
      <c r="P18" s="2">
        <v>25</v>
      </c>
      <c r="Q18" s="2" t="s">
        <v>28</v>
      </c>
      <c r="R18" s="2">
        <v>0</v>
      </c>
      <c r="S18" s="2">
        <v>1</v>
      </c>
      <c r="T18" s="2">
        <v>30</v>
      </c>
      <c r="U18" s="7" t="s">
        <v>29</v>
      </c>
      <c r="V18" s="7" t="s">
        <v>30</v>
      </c>
      <c r="W18" s="8"/>
    </row>
    <row r="19" spans="1:23" ht="42.75" x14ac:dyDescent="0.45">
      <c r="A19" s="2">
        <v>18</v>
      </c>
      <c r="B19" s="3" t="str">
        <f t="shared" si="0"/>
        <v>ES-018</v>
      </c>
      <c r="C19" s="2" t="s">
        <v>59</v>
      </c>
      <c r="D19" s="2" t="s">
        <v>56</v>
      </c>
      <c r="E19" s="2" t="s">
        <v>53</v>
      </c>
      <c r="F19" s="4" t="s">
        <v>60</v>
      </c>
      <c r="G19" s="2">
        <v>2</v>
      </c>
      <c r="H19" s="3">
        <f t="shared" si="1"/>
        <v>8</v>
      </c>
      <c r="I19" s="5" t="str">
        <f t="shared" si="2"/>
        <v>"Albarracín Teruel" turismo</v>
      </c>
      <c r="J19" s="5" t="str">
        <f t="shared" si="3"/>
        <v>"Albarracín Teruel" opiniones viaje</v>
      </c>
      <c r="K19" s="5" t="str">
        <f t="shared" si="4"/>
        <v>"Albarracín Spain" travel review</v>
      </c>
      <c r="L19" s="5" t="str">
        <f t="shared" si="5"/>
        <v>"Albarracín Spain" things to do</v>
      </c>
      <c r="M19" s="2" t="s">
        <v>26</v>
      </c>
      <c r="N19" s="2" t="s">
        <v>27</v>
      </c>
      <c r="O19" s="6">
        <v>44927</v>
      </c>
      <c r="P19" s="2">
        <v>25</v>
      </c>
      <c r="Q19" s="2" t="s">
        <v>28</v>
      </c>
      <c r="R19" s="2">
        <v>0</v>
      </c>
      <c r="S19" s="2">
        <v>1</v>
      </c>
      <c r="T19" s="2">
        <v>30</v>
      </c>
      <c r="U19" s="7" t="s">
        <v>29</v>
      </c>
      <c r="V19" s="7" t="s">
        <v>30</v>
      </c>
      <c r="W19" s="8"/>
    </row>
    <row r="20" spans="1:23" ht="42.75" x14ac:dyDescent="0.45">
      <c r="A20" s="2">
        <v>19</v>
      </c>
      <c r="B20" s="3" t="str">
        <f t="shared" si="0"/>
        <v>ES-019</v>
      </c>
      <c r="C20" s="2" t="s">
        <v>61</v>
      </c>
      <c r="D20" s="2" t="s">
        <v>62</v>
      </c>
      <c r="E20" s="2" t="s">
        <v>63</v>
      </c>
      <c r="F20" s="4" t="s">
        <v>25</v>
      </c>
      <c r="G20" s="2">
        <v>1</v>
      </c>
      <c r="H20" s="3">
        <f t="shared" si="1"/>
        <v>9</v>
      </c>
      <c r="I20" s="5" t="str">
        <f t="shared" si="2"/>
        <v>"Oviedo Asturias" turismo</v>
      </c>
      <c r="J20" s="5" t="str">
        <f t="shared" si="3"/>
        <v>"Oviedo Asturias" opiniones viaje</v>
      </c>
      <c r="K20" s="5" t="str">
        <f t="shared" si="4"/>
        <v>"Oviedo Spain" travel review</v>
      </c>
      <c r="L20" s="5" t="str">
        <f t="shared" si="5"/>
        <v>"Oviedo Spain" things to do</v>
      </c>
      <c r="M20" s="2" t="s">
        <v>26</v>
      </c>
      <c r="N20" s="2" t="s">
        <v>27</v>
      </c>
      <c r="O20" s="6">
        <v>44927</v>
      </c>
      <c r="P20" s="2">
        <v>25</v>
      </c>
      <c r="Q20" s="2" t="s">
        <v>28</v>
      </c>
      <c r="R20" s="2">
        <v>0</v>
      </c>
      <c r="S20" s="2">
        <v>1</v>
      </c>
      <c r="T20" s="2">
        <v>30</v>
      </c>
      <c r="U20" s="7" t="s">
        <v>29</v>
      </c>
      <c r="V20" s="7" t="s">
        <v>30</v>
      </c>
      <c r="W20" s="8"/>
    </row>
    <row r="21" spans="1:23" ht="42.75" x14ac:dyDescent="0.45">
      <c r="A21" s="2">
        <v>20</v>
      </c>
      <c r="B21" s="3" t="str">
        <f t="shared" si="0"/>
        <v>ES-020</v>
      </c>
      <c r="C21" s="2" t="s">
        <v>64</v>
      </c>
      <c r="D21" s="2" t="s">
        <v>62</v>
      </c>
      <c r="E21" s="2" t="s">
        <v>63</v>
      </c>
      <c r="F21" s="4" t="s">
        <v>35</v>
      </c>
      <c r="G21" s="2">
        <v>1</v>
      </c>
      <c r="H21" s="3">
        <f t="shared" si="1"/>
        <v>10</v>
      </c>
      <c r="I21" s="5" t="str">
        <f t="shared" si="2"/>
        <v>"Gijón Asturias" turismo</v>
      </c>
      <c r="J21" s="5" t="str">
        <f t="shared" si="3"/>
        <v>"Gijón Asturias" opiniones viaje</v>
      </c>
      <c r="K21" s="5" t="str">
        <f t="shared" si="4"/>
        <v>"Gijón Spain" travel review</v>
      </c>
      <c r="L21" s="5" t="str">
        <f t="shared" si="5"/>
        <v>"Gijón Spain" things to do</v>
      </c>
      <c r="M21" s="2" t="s">
        <v>26</v>
      </c>
      <c r="N21" s="2" t="s">
        <v>27</v>
      </c>
      <c r="O21" s="6">
        <v>44927</v>
      </c>
      <c r="P21" s="2">
        <v>25</v>
      </c>
      <c r="Q21" s="2" t="s">
        <v>28</v>
      </c>
      <c r="R21" s="2">
        <v>0</v>
      </c>
      <c r="S21" s="2">
        <v>1</v>
      </c>
      <c r="T21" s="2">
        <v>30</v>
      </c>
      <c r="U21" s="7" t="s">
        <v>29</v>
      </c>
      <c r="V21" s="7" t="s">
        <v>30</v>
      </c>
      <c r="W21" s="8"/>
    </row>
    <row r="22" spans="1:23" ht="42.75" x14ac:dyDescent="0.45">
      <c r="A22" s="2">
        <v>21</v>
      </c>
      <c r="B22" s="3" t="str">
        <f t="shared" si="0"/>
        <v>ES-021</v>
      </c>
      <c r="C22" s="2" t="s">
        <v>65</v>
      </c>
      <c r="D22" s="2" t="s">
        <v>62</v>
      </c>
      <c r="E22" s="2" t="s">
        <v>63</v>
      </c>
      <c r="F22" s="4" t="s">
        <v>66</v>
      </c>
      <c r="G22" s="2">
        <v>2</v>
      </c>
      <c r="H22" s="3">
        <f t="shared" si="1"/>
        <v>1</v>
      </c>
      <c r="I22" s="5" t="str">
        <f t="shared" si="2"/>
        <v>"Avilés Asturias" turismo</v>
      </c>
      <c r="J22" s="5" t="str">
        <f t="shared" si="3"/>
        <v>"Avilés Asturias" opiniones viaje</v>
      </c>
      <c r="K22" s="5" t="str">
        <f t="shared" si="4"/>
        <v>"Avilés Spain" travel review</v>
      </c>
      <c r="L22" s="5" t="str">
        <f t="shared" si="5"/>
        <v>"Avilés Spain" things to do</v>
      </c>
      <c r="M22" s="2" t="s">
        <v>26</v>
      </c>
      <c r="N22" s="2" t="s">
        <v>27</v>
      </c>
      <c r="O22" s="6">
        <v>44927</v>
      </c>
      <c r="P22" s="2">
        <v>25</v>
      </c>
      <c r="Q22" s="2" t="s">
        <v>28</v>
      </c>
      <c r="R22" s="2">
        <v>0</v>
      </c>
      <c r="S22" s="2">
        <v>1</v>
      </c>
      <c r="T22" s="2">
        <v>30</v>
      </c>
      <c r="U22" s="7" t="s">
        <v>29</v>
      </c>
      <c r="V22" s="7" t="s">
        <v>30</v>
      </c>
      <c r="W22" s="8"/>
    </row>
    <row r="23" spans="1:23" ht="42.75" x14ac:dyDescent="0.45">
      <c r="A23" s="2">
        <v>22</v>
      </c>
      <c r="B23" s="3" t="str">
        <f t="shared" si="0"/>
        <v>ES-022</v>
      </c>
      <c r="C23" s="2" t="s">
        <v>67</v>
      </c>
      <c r="D23" s="2" t="s">
        <v>62</v>
      </c>
      <c r="E23" s="2" t="s">
        <v>63</v>
      </c>
      <c r="F23" s="4" t="s">
        <v>68</v>
      </c>
      <c r="G23" s="2">
        <v>1</v>
      </c>
      <c r="H23" s="3">
        <f t="shared" si="1"/>
        <v>2</v>
      </c>
      <c r="I23" s="5" t="str">
        <f t="shared" si="2"/>
        <v>"Cangas de Onís Asturias" turismo</v>
      </c>
      <c r="J23" s="5" t="str">
        <f t="shared" si="3"/>
        <v>"Cangas de Onís Asturias" opiniones viaje</v>
      </c>
      <c r="K23" s="5" t="str">
        <f t="shared" si="4"/>
        <v>"Cangas de Onís Spain" travel review</v>
      </c>
      <c r="L23" s="5" t="str">
        <f t="shared" si="5"/>
        <v>"Cangas de Onís Spain" things to do</v>
      </c>
      <c r="M23" s="2" t="s">
        <v>26</v>
      </c>
      <c r="N23" s="2" t="s">
        <v>27</v>
      </c>
      <c r="O23" s="6">
        <v>44927</v>
      </c>
      <c r="P23" s="2">
        <v>25</v>
      </c>
      <c r="Q23" s="2" t="s">
        <v>28</v>
      </c>
      <c r="R23" s="2">
        <v>0</v>
      </c>
      <c r="S23" s="2">
        <v>1</v>
      </c>
      <c r="T23" s="2">
        <v>30</v>
      </c>
      <c r="U23" s="7" t="s">
        <v>29</v>
      </c>
      <c r="V23" s="7" t="s">
        <v>30</v>
      </c>
      <c r="W23" s="8"/>
    </row>
    <row r="24" spans="1:23" ht="42.75" x14ac:dyDescent="0.45">
      <c r="A24" s="2">
        <v>23</v>
      </c>
      <c r="B24" s="3" t="str">
        <f t="shared" si="0"/>
        <v>ES-023</v>
      </c>
      <c r="C24" s="2" t="s">
        <v>69</v>
      </c>
      <c r="D24" s="2" t="s">
        <v>62</v>
      </c>
      <c r="E24" s="2" t="s">
        <v>63</v>
      </c>
      <c r="F24" s="4" t="s">
        <v>46</v>
      </c>
      <c r="G24" s="2">
        <v>1</v>
      </c>
      <c r="H24" s="3">
        <f t="shared" si="1"/>
        <v>3</v>
      </c>
      <c r="I24" s="5" t="str">
        <f t="shared" si="2"/>
        <v>"Llanes Asturias" turismo</v>
      </c>
      <c r="J24" s="5" t="str">
        <f t="shared" si="3"/>
        <v>"Llanes Asturias" opiniones viaje</v>
      </c>
      <c r="K24" s="5" t="str">
        <f t="shared" si="4"/>
        <v>"Llanes Spain" travel review</v>
      </c>
      <c r="L24" s="5" t="str">
        <f t="shared" si="5"/>
        <v>"Llanes Spain" things to do</v>
      </c>
      <c r="M24" s="2" t="s">
        <v>26</v>
      </c>
      <c r="N24" s="2" t="s">
        <v>27</v>
      </c>
      <c r="O24" s="6">
        <v>44927</v>
      </c>
      <c r="P24" s="2">
        <v>25</v>
      </c>
      <c r="Q24" s="2" t="s">
        <v>28</v>
      </c>
      <c r="R24" s="2">
        <v>0</v>
      </c>
      <c r="S24" s="2">
        <v>1</v>
      </c>
      <c r="T24" s="2">
        <v>30</v>
      </c>
      <c r="U24" s="7" t="s">
        <v>29</v>
      </c>
      <c r="V24" s="7" t="s">
        <v>30</v>
      </c>
      <c r="W24" s="8"/>
    </row>
    <row r="25" spans="1:23" ht="42.75" x14ac:dyDescent="0.45">
      <c r="A25" s="2">
        <v>24</v>
      </c>
      <c r="B25" s="3" t="str">
        <f t="shared" si="0"/>
        <v>ES-024</v>
      </c>
      <c r="C25" s="2" t="s">
        <v>70</v>
      </c>
      <c r="D25" s="2" t="s">
        <v>62</v>
      </c>
      <c r="E25" s="2" t="s">
        <v>63</v>
      </c>
      <c r="F25" s="4" t="s">
        <v>41</v>
      </c>
      <c r="G25" s="2">
        <v>2</v>
      </c>
      <c r="H25" s="3">
        <f t="shared" si="1"/>
        <v>4</v>
      </c>
      <c r="I25" s="5" t="str">
        <f t="shared" si="2"/>
        <v>"Cudillero Asturias" turismo</v>
      </c>
      <c r="J25" s="5" t="str">
        <f t="shared" si="3"/>
        <v>"Cudillero Asturias" opiniones viaje</v>
      </c>
      <c r="K25" s="5" t="str">
        <f t="shared" si="4"/>
        <v>"Cudillero Spain" travel review</v>
      </c>
      <c r="L25" s="5" t="str">
        <f t="shared" si="5"/>
        <v>"Cudillero Spain" things to do</v>
      </c>
      <c r="M25" s="2" t="s">
        <v>26</v>
      </c>
      <c r="N25" s="2" t="s">
        <v>27</v>
      </c>
      <c r="O25" s="6">
        <v>44927</v>
      </c>
      <c r="P25" s="2">
        <v>25</v>
      </c>
      <c r="Q25" s="2" t="s">
        <v>28</v>
      </c>
      <c r="R25" s="2">
        <v>0</v>
      </c>
      <c r="S25" s="2">
        <v>1</v>
      </c>
      <c r="T25" s="2">
        <v>30</v>
      </c>
      <c r="U25" s="7" t="s">
        <v>29</v>
      </c>
      <c r="V25" s="7" t="s">
        <v>30</v>
      </c>
      <c r="W25" s="8"/>
    </row>
    <row r="26" spans="1:23" ht="42.75" x14ac:dyDescent="0.45">
      <c r="A26" s="2">
        <v>25</v>
      </c>
      <c r="B26" s="3" t="str">
        <f t="shared" si="0"/>
        <v>ES-025</v>
      </c>
      <c r="C26" s="2" t="s">
        <v>71</v>
      </c>
      <c r="D26" s="2" t="s">
        <v>72</v>
      </c>
      <c r="E26" s="2" t="s">
        <v>73</v>
      </c>
      <c r="F26" s="4" t="s">
        <v>74</v>
      </c>
      <c r="G26" s="2">
        <v>1</v>
      </c>
      <c r="H26" s="3">
        <f t="shared" si="1"/>
        <v>5</v>
      </c>
      <c r="I26" s="5" t="str">
        <f t="shared" si="2"/>
        <v>"Palma Balears, Illes" turismo</v>
      </c>
      <c r="J26" s="5" t="str">
        <f t="shared" si="3"/>
        <v>"Palma Balears, Illes" opiniones viaje</v>
      </c>
      <c r="K26" s="5" t="str">
        <f t="shared" si="4"/>
        <v>"Palma Spain" travel review</v>
      </c>
      <c r="L26" s="5" t="str">
        <f t="shared" si="5"/>
        <v>"Palma Spain" things to do</v>
      </c>
      <c r="M26" s="2" t="s">
        <v>26</v>
      </c>
      <c r="N26" s="2" t="s">
        <v>27</v>
      </c>
      <c r="O26" s="6">
        <v>44927</v>
      </c>
      <c r="P26" s="2">
        <v>25</v>
      </c>
      <c r="Q26" s="2" t="s">
        <v>28</v>
      </c>
      <c r="R26" s="2">
        <v>0</v>
      </c>
      <c r="S26" s="2">
        <v>1</v>
      </c>
      <c r="T26" s="2">
        <v>30</v>
      </c>
      <c r="U26" s="7" t="s">
        <v>29</v>
      </c>
      <c r="V26" s="7" t="s">
        <v>30</v>
      </c>
      <c r="W26" s="8"/>
    </row>
    <row r="27" spans="1:23" ht="42.75" x14ac:dyDescent="0.45">
      <c r="A27" s="2">
        <v>26</v>
      </c>
      <c r="B27" s="3" t="str">
        <f t="shared" si="0"/>
        <v>ES-026</v>
      </c>
      <c r="C27" s="2" t="s">
        <v>75</v>
      </c>
      <c r="D27" s="2" t="s">
        <v>72</v>
      </c>
      <c r="E27" s="2" t="s">
        <v>73</v>
      </c>
      <c r="F27" s="4" t="s">
        <v>41</v>
      </c>
      <c r="G27" s="2">
        <v>1</v>
      </c>
      <c r="H27" s="3">
        <f t="shared" si="1"/>
        <v>6</v>
      </c>
      <c r="I27" s="5" t="str">
        <f t="shared" si="2"/>
        <v>"Alcúdia Balears, Illes" turismo</v>
      </c>
      <c r="J27" s="5" t="str">
        <f t="shared" si="3"/>
        <v>"Alcúdia Balears, Illes" opiniones viaje</v>
      </c>
      <c r="K27" s="5" t="str">
        <f t="shared" si="4"/>
        <v>"Alcúdia Spain" travel review</v>
      </c>
      <c r="L27" s="5" t="str">
        <f t="shared" si="5"/>
        <v>"Alcúdia Spain" things to do</v>
      </c>
      <c r="M27" s="2" t="s">
        <v>26</v>
      </c>
      <c r="N27" s="2" t="s">
        <v>27</v>
      </c>
      <c r="O27" s="6">
        <v>44927</v>
      </c>
      <c r="P27" s="2">
        <v>25</v>
      </c>
      <c r="Q27" s="2" t="s">
        <v>28</v>
      </c>
      <c r="R27" s="2">
        <v>0</v>
      </c>
      <c r="S27" s="2">
        <v>1</v>
      </c>
      <c r="T27" s="2">
        <v>30</v>
      </c>
      <c r="U27" s="7" t="s">
        <v>29</v>
      </c>
      <c r="V27" s="7" t="s">
        <v>30</v>
      </c>
      <c r="W27" s="8"/>
    </row>
    <row r="28" spans="1:23" ht="42.75" x14ac:dyDescent="0.45">
      <c r="A28" s="2">
        <v>27</v>
      </c>
      <c r="B28" s="3" t="str">
        <f t="shared" si="0"/>
        <v>ES-027</v>
      </c>
      <c r="C28" s="2" t="s">
        <v>76</v>
      </c>
      <c r="D28" s="2" t="s">
        <v>72</v>
      </c>
      <c r="E28" s="2" t="s">
        <v>73</v>
      </c>
      <c r="F28" s="4" t="s">
        <v>46</v>
      </c>
      <c r="G28" s="2">
        <v>2</v>
      </c>
      <c r="H28" s="3">
        <f t="shared" si="1"/>
        <v>7</v>
      </c>
      <c r="I28" s="5" t="str">
        <f t="shared" si="2"/>
        <v>"Sóller Balears, Illes" turismo</v>
      </c>
      <c r="J28" s="5" t="str">
        <f t="shared" si="3"/>
        <v>"Sóller Balears, Illes" opiniones viaje</v>
      </c>
      <c r="K28" s="5" t="str">
        <f t="shared" si="4"/>
        <v>"Sóller Spain" travel review</v>
      </c>
      <c r="L28" s="5" t="str">
        <f t="shared" si="5"/>
        <v>"Sóller Spain" things to do</v>
      </c>
      <c r="M28" s="2" t="s">
        <v>26</v>
      </c>
      <c r="N28" s="2" t="s">
        <v>27</v>
      </c>
      <c r="O28" s="6">
        <v>44927</v>
      </c>
      <c r="P28" s="2">
        <v>25</v>
      </c>
      <c r="Q28" s="2" t="s">
        <v>28</v>
      </c>
      <c r="R28" s="2">
        <v>0</v>
      </c>
      <c r="S28" s="2">
        <v>1</v>
      </c>
      <c r="T28" s="2">
        <v>30</v>
      </c>
      <c r="U28" s="7" t="s">
        <v>29</v>
      </c>
      <c r="V28" s="7" t="s">
        <v>30</v>
      </c>
      <c r="W28" s="8"/>
    </row>
    <row r="29" spans="1:23" ht="42.75" x14ac:dyDescent="0.45">
      <c r="A29" s="2">
        <v>28</v>
      </c>
      <c r="B29" s="3" t="str">
        <f t="shared" si="0"/>
        <v>ES-028</v>
      </c>
      <c r="C29" s="2" t="s">
        <v>77</v>
      </c>
      <c r="D29" s="2" t="s">
        <v>72</v>
      </c>
      <c r="E29" s="2" t="s">
        <v>73</v>
      </c>
      <c r="F29" s="4" t="s">
        <v>41</v>
      </c>
      <c r="G29" s="2">
        <v>1</v>
      </c>
      <c r="H29" s="3">
        <f t="shared" si="1"/>
        <v>8</v>
      </c>
      <c r="I29" s="5" t="str">
        <f t="shared" si="2"/>
        <v>"Ciutadella de Menorca Balears, Illes" turismo</v>
      </c>
      <c r="J29" s="5" t="str">
        <f t="shared" si="3"/>
        <v>"Ciutadella de Menorca Balears, Illes" opiniones viaje</v>
      </c>
      <c r="K29" s="5" t="str">
        <f t="shared" si="4"/>
        <v>"Ciutadella de Menorca Spain" travel review</v>
      </c>
      <c r="L29" s="5" t="str">
        <f t="shared" si="5"/>
        <v>"Ciutadella de Menorca Spain" things to do</v>
      </c>
      <c r="M29" s="2" t="s">
        <v>26</v>
      </c>
      <c r="N29" s="2" t="s">
        <v>27</v>
      </c>
      <c r="O29" s="6">
        <v>44927</v>
      </c>
      <c r="P29" s="2">
        <v>25</v>
      </c>
      <c r="Q29" s="2" t="s">
        <v>28</v>
      </c>
      <c r="R29" s="2">
        <v>0</v>
      </c>
      <c r="S29" s="2">
        <v>1</v>
      </c>
      <c r="T29" s="2">
        <v>30</v>
      </c>
      <c r="U29" s="7" t="s">
        <v>29</v>
      </c>
      <c r="V29" s="7" t="s">
        <v>30</v>
      </c>
      <c r="W29" s="8"/>
    </row>
    <row r="30" spans="1:23" ht="42.75" x14ac:dyDescent="0.45">
      <c r="A30" s="2">
        <v>29</v>
      </c>
      <c r="B30" s="3" t="str">
        <f t="shared" si="0"/>
        <v>ES-029</v>
      </c>
      <c r="C30" s="2" t="s">
        <v>78</v>
      </c>
      <c r="D30" s="2" t="s">
        <v>72</v>
      </c>
      <c r="E30" s="2" t="s">
        <v>73</v>
      </c>
      <c r="F30" s="4" t="s">
        <v>35</v>
      </c>
      <c r="G30" s="2">
        <v>2</v>
      </c>
      <c r="H30" s="3">
        <f t="shared" si="1"/>
        <v>9</v>
      </c>
      <c r="I30" s="5" t="str">
        <f t="shared" si="2"/>
        <v>"Maó Balears, Illes" turismo</v>
      </c>
      <c r="J30" s="5" t="str">
        <f t="shared" si="3"/>
        <v>"Maó Balears, Illes" opiniones viaje</v>
      </c>
      <c r="K30" s="5" t="str">
        <f t="shared" si="4"/>
        <v>"Maó Spain" travel review</v>
      </c>
      <c r="L30" s="5" t="str">
        <f t="shared" si="5"/>
        <v>"Maó Spain" things to do</v>
      </c>
      <c r="M30" s="2" t="s">
        <v>26</v>
      </c>
      <c r="N30" s="2" t="s">
        <v>27</v>
      </c>
      <c r="O30" s="6">
        <v>44927</v>
      </c>
      <c r="P30" s="2">
        <v>25</v>
      </c>
      <c r="Q30" s="2" t="s">
        <v>28</v>
      </c>
      <c r="R30" s="2">
        <v>0</v>
      </c>
      <c r="S30" s="2">
        <v>1</v>
      </c>
      <c r="T30" s="2">
        <v>30</v>
      </c>
      <c r="U30" s="7" t="s">
        <v>29</v>
      </c>
      <c r="V30" s="7" t="s">
        <v>30</v>
      </c>
      <c r="W30" s="8"/>
    </row>
    <row r="31" spans="1:23" ht="42.75" x14ac:dyDescent="0.45">
      <c r="A31" s="2">
        <v>30</v>
      </c>
      <c r="B31" s="3" t="str">
        <f t="shared" si="0"/>
        <v>ES-030</v>
      </c>
      <c r="C31" s="2" t="s">
        <v>79</v>
      </c>
      <c r="D31" s="2" t="s">
        <v>72</v>
      </c>
      <c r="E31" s="2" t="s">
        <v>73</v>
      </c>
      <c r="F31" s="4" t="s">
        <v>80</v>
      </c>
      <c r="G31" s="2">
        <v>1</v>
      </c>
      <c r="H31" s="3">
        <f t="shared" si="1"/>
        <v>10</v>
      </c>
      <c r="I31" s="5" t="str">
        <f t="shared" si="2"/>
        <v>"Eivissa Balears, Illes" turismo</v>
      </c>
      <c r="J31" s="5" t="str">
        <f t="shared" si="3"/>
        <v>"Eivissa Balears, Illes" opiniones viaje</v>
      </c>
      <c r="K31" s="5" t="str">
        <f t="shared" si="4"/>
        <v>"Eivissa Spain" travel review</v>
      </c>
      <c r="L31" s="5" t="str">
        <f t="shared" si="5"/>
        <v>"Eivissa Spain" things to do</v>
      </c>
      <c r="M31" s="2" t="s">
        <v>26</v>
      </c>
      <c r="N31" s="2" t="s">
        <v>27</v>
      </c>
      <c r="O31" s="6">
        <v>44927</v>
      </c>
      <c r="P31" s="2">
        <v>25</v>
      </c>
      <c r="Q31" s="2" t="s">
        <v>28</v>
      </c>
      <c r="R31" s="2">
        <v>0</v>
      </c>
      <c r="S31" s="2">
        <v>1</v>
      </c>
      <c r="T31" s="2">
        <v>30</v>
      </c>
      <c r="U31" s="7" t="s">
        <v>29</v>
      </c>
      <c r="V31" s="7" t="s">
        <v>30</v>
      </c>
      <c r="W31" s="8"/>
    </row>
    <row r="32" spans="1:23" ht="42.75" x14ac:dyDescent="0.45">
      <c r="A32" s="2">
        <v>31</v>
      </c>
      <c r="B32" s="3" t="str">
        <f t="shared" si="0"/>
        <v>ES-031</v>
      </c>
      <c r="C32" s="2" t="s">
        <v>81</v>
      </c>
      <c r="D32" s="2" t="s">
        <v>82</v>
      </c>
      <c r="E32" s="2" t="s">
        <v>83</v>
      </c>
      <c r="F32" s="4" t="s">
        <v>74</v>
      </c>
      <c r="G32" s="2">
        <v>1</v>
      </c>
      <c r="H32" s="3">
        <f t="shared" si="1"/>
        <v>1</v>
      </c>
      <c r="I32" s="5" t="str">
        <f t="shared" si="2"/>
        <v>"Las Palmas de Gran Canaria Las Palmas" turismo</v>
      </c>
      <c r="J32" s="5" t="str">
        <f t="shared" si="3"/>
        <v>"Las Palmas de Gran Canaria Las Palmas" opiniones viaje</v>
      </c>
      <c r="K32" s="5" t="str">
        <f t="shared" si="4"/>
        <v>"Las Palmas de Gran Canaria Spain" travel review</v>
      </c>
      <c r="L32" s="5" t="str">
        <f t="shared" si="5"/>
        <v>"Las Palmas de Gran Canaria Spain" things to do</v>
      </c>
      <c r="M32" s="2" t="s">
        <v>26</v>
      </c>
      <c r="N32" s="2" t="s">
        <v>27</v>
      </c>
      <c r="O32" s="6">
        <v>44927</v>
      </c>
      <c r="P32" s="2">
        <v>25</v>
      </c>
      <c r="Q32" s="2" t="s">
        <v>28</v>
      </c>
      <c r="R32" s="2">
        <v>0</v>
      </c>
      <c r="S32" s="2">
        <v>1</v>
      </c>
      <c r="T32" s="2">
        <v>30</v>
      </c>
      <c r="U32" s="7" t="s">
        <v>29</v>
      </c>
      <c r="V32" s="7" t="s">
        <v>30</v>
      </c>
      <c r="W32" s="8"/>
    </row>
    <row r="33" spans="1:23" ht="42.75" x14ac:dyDescent="0.45">
      <c r="A33" s="2">
        <v>32</v>
      </c>
      <c r="B33" s="3" t="str">
        <f t="shared" si="0"/>
        <v>ES-032</v>
      </c>
      <c r="C33" s="2" t="s">
        <v>84</v>
      </c>
      <c r="D33" s="2" t="s">
        <v>82</v>
      </c>
      <c r="E33" s="2" t="s">
        <v>83</v>
      </c>
      <c r="F33" s="4" t="s">
        <v>80</v>
      </c>
      <c r="G33" s="2">
        <v>1</v>
      </c>
      <c r="H33" s="3">
        <f t="shared" si="1"/>
        <v>2</v>
      </c>
      <c r="I33" s="5" t="str">
        <f t="shared" si="2"/>
        <v>"San Bartolomé de Tirajana Las Palmas" turismo</v>
      </c>
      <c r="J33" s="5" t="str">
        <f t="shared" si="3"/>
        <v>"San Bartolomé de Tirajana Las Palmas" opiniones viaje</v>
      </c>
      <c r="K33" s="5" t="str">
        <f t="shared" si="4"/>
        <v>"San Bartolomé de Tirajana Spain" travel review</v>
      </c>
      <c r="L33" s="5" t="str">
        <f t="shared" si="5"/>
        <v>"San Bartolomé de Tirajana Spain" things to do</v>
      </c>
      <c r="M33" s="2" t="s">
        <v>26</v>
      </c>
      <c r="N33" s="2" t="s">
        <v>27</v>
      </c>
      <c r="O33" s="6">
        <v>44927</v>
      </c>
      <c r="P33" s="2">
        <v>25</v>
      </c>
      <c r="Q33" s="2" t="s">
        <v>28</v>
      </c>
      <c r="R33" s="2">
        <v>0</v>
      </c>
      <c r="S33" s="2">
        <v>1</v>
      </c>
      <c r="T33" s="2">
        <v>30</v>
      </c>
      <c r="U33" s="7" t="s">
        <v>29</v>
      </c>
      <c r="V33" s="7" t="s">
        <v>30</v>
      </c>
      <c r="W33" s="8"/>
    </row>
    <row r="34" spans="1:23" ht="42.75" x14ac:dyDescent="0.45">
      <c r="A34" s="2">
        <v>33</v>
      </c>
      <c r="B34" s="3" t="str">
        <f t="shared" ref="B34:B65" si="6">"ES-"&amp;TEXT(A34,"000")</f>
        <v>ES-033</v>
      </c>
      <c r="C34" s="2" t="s">
        <v>85</v>
      </c>
      <c r="D34" s="2" t="s">
        <v>82</v>
      </c>
      <c r="E34" s="2" t="s">
        <v>83</v>
      </c>
      <c r="F34" s="4" t="s">
        <v>46</v>
      </c>
      <c r="G34" s="2">
        <v>1</v>
      </c>
      <c r="H34" s="3">
        <f t="shared" ref="H34:H65" si="7">MOD(A34-1,10)+1</f>
        <v>3</v>
      </c>
      <c r="I34" s="5" t="str">
        <f t="shared" ref="I34:I65" si="8">CHAR(34)&amp;C34&amp;IF(C34=D34,""," "&amp;D34)&amp;CHAR(34)&amp;" turismo"</f>
        <v>"Mogán Las Palmas" turismo</v>
      </c>
      <c r="J34" s="5" t="str">
        <f t="shared" ref="J34:J65" si="9">CHAR(34)&amp;C34&amp;IF(C34=D34,""," "&amp;D34)&amp;CHAR(34)&amp;" opiniones viaje"</f>
        <v>"Mogán Las Palmas" opiniones viaje</v>
      </c>
      <c r="K34" s="5" t="str">
        <f t="shared" ref="K34:K65" si="10">CHAR(34)&amp;C34&amp;" Spain"&amp;CHAR(34)&amp;" travel review"</f>
        <v>"Mogán Spain" travel review</v>
      </c>
      <c r="L34" s="5" t="str">
        <f t="shared" ref="L34:L65" si="11">CHAR(34)&amp;C34&amp;" Spain"&amp;CHAR(34)&amp;" things to do"</f>
        <v>"Mogán Spain" things to do</v>
      </c>
      <c r="M34" s="2" t="s">
        <v>26</v>
      </c>
      <c r="N34" s="2" t="s">
        <v>27</v>
      </c>
      <c r="O34" s="6">
        <v>44927</v>
      </c>
      <c r="P34" s="2">
        <v>25</v>
      </c>
      <c r="Q34" s="2" t="s">
        <v>28</v>
      </c>
      <c r="R34" s="2">
        <v>0</v>
      </c>
      <c r="S34" s="2">
        <v>1</v>
      </c>
      <c r="T34" s="2">
        <v>30</v>
      </c>
      <c r="U34" s="7" t="s">
        <v>29</v>
      </c>
      <c r="V34" s="7" t="s">
        <v>30</v>
      </c>
      <c r="W34" s="8"/>
    </row>
    <row r="35" spans="1:23" ht="42.75" x14ac:dyDescent="0.45">
      <c r="A35" s="2">
        <v>34</v>
      </c>
      <c r="B35" s="3" t="str">
        <f t="shared" si="6"/>
        <v>ES-034</v>
      </c>
      <c r="C35" s="2" t="s">
        <v>86</v>
      </c>
      <c r="D35" s="2" t="s">
        <v>82</v>
      </c>
      <c r="E35" s="2" t="s">
        <v>83</v>
      </c>
      <c r="F35" s="4" t="s">
        <v>74</v>
      </c>
      <c r="G35" s="2">
        <v>2</v>
      </c>
      <c r="H35" s="3">
        <f t="shared" si="7"/>
        <v>4</v>
      </c>
      <c r="I35" s="5" t="str">
        <f t="shared" si="8"/>
        <v>"Arrecife Las Palmas" turismo</v>
      </c>
      <c r="J35" s="5" t="str">
        <f t="shared" si="9"/>
        <v>"Arrecife Las Palmas" opiniones viaje</v>
      </c>
      <c r="K35" s="5" t="str">
        <f t="shared" si="10"/>
        <v>"Arrecife Spain" travel review</v>
      </c>
      <c r="L35" s="5" t="str">
        <f t="shared" si="11"/>
        <v>"Arrecife Spain" things to do</v>
      </c>
      <c r="M35" s="2" t="s">
        <v>26</v>
      </c>
      <c r="N35" s="2" t="s">
        <v>27</v>
      </c>
      <c r="O35" s="6">
        <v>44927</v>
      </c>
      <c r="P35" s="2">
        <v>25</v>
      </c>
      <c r="Q35" s="2" t="s">
        <v>28</v>
      </c>
      <c r="R35" s="2">
        <v>0</v>
      </c>
      <c r="S35" s="2">
        <v>1</v>
      </c>
      <c r="T35" s="2">
        <v>30</v>
      </c>
      <c r="U35" s="7" t="s">
        <v>29</v>
      </c>
      <c r="V35" s="7" t="s">
        <v>30</v>
      </c>
      <c r="W35" s="8"/>
    </row>
    <row r="36" spans="1:23" ht="42.75" x14ac:dyDescent="0.45">
      <c r="A36" s="2">
        <v>35</v>
      </c>
      <c r="B36" s="3" t="str">
        <f t="shared" si="6"/>
        <v>ES-035</v>
      </c>
      <c r="C36" s="2" t="s">
        <v>87</v>
      </c>
      <c r="D36" s="2" t="s">
        <v>82</v>
      </c>
      <c r="E36" s="2" t="s">
        <v>83</v>
      </c>
      <c r="F36" s="4" t="s">
        <v>88</v>
      </c>
      <c r="G36" s="2">
        <v>1</v>
      </c>
      <c r="H36" s="3">
        <f t="shared" si="7"/>
        <v>5</v>
      </c>
      <c r="I36" s="5" t="str">
        <f t="shared" si="8"/>
        <v>"Yaiza Las Palmas" turismo</v>
      </c>
      <c r="J36" s="5" t="str">
        <f t="shared" si="9"/>
        <v>"Yaiza Las Palmas" opiniones viaje</v>
      </c>
      <c r="K36" s="5" t="str">
        <f t="shared" si="10"/>
        <v>"Yaiza Spain" travel review</v>
      </c>
      <c r="L36" s="5" t="str">
        <f t="shared" si="11"/>
        <v>"Yaiza Spain" things to do</v>
      </c>
      <c r="M36" s="2" t="s">
        <v>26</v>
      </c>
      <c r="N36" s="2" t="s">
        <v>27</v>
      </c>
      <c r="O36" s="6">
        <v>44927</v>
      </c>
      <c r="P36" s="2">
        <v>25</v>
      </c>
      <c r="Q36" s="2" t="s">
        <v>28</v>
      </c>
      <c r="R36" s="2">
        <v>0</v>
      </c>
      <c r="S36" s="2">
        <v>1</v>
      </c>
      <c r="T36" s="2">
        <v>30</v>
      </c>
      <c r="U36" s="7" t="s">
        <v>29</v>
      </c>
      <c r="V36" s="7" t="s">
        <v>30</v>
      </c>
      <c r="W36" s="8"/>
    </row>
    <row r="37" spans="1:23" ht="42.75" x14ac:dyDescent="0.45">
      <c r="A37" s="2">
        <v>36</v>
      </c>
      <c r="B37" s="3" t="str">
        <f t="shared" si="6"/>
        <v>ES-036</v>
      </c>
      <c r="C37" s="2" t="s">
        <v>89</v>
      </c>
      <c r="D37" s="2" t="s">
        <v>82</v>
      </c>
      <c r="E37" s="2" t="s">
        <v>83</v>
      </c>
      <c r="F37" s="4" t="s">
        <v>48</v>
      </c>
      <c r="G37" s="2">
        <v>1</v>
      </c>
      <c r="H37" s="3">
        <f t="shared" si="7"/>
        <v>6</v>
      </c>
      <c r="I37" s="5" t="str">
        <f t="shared" si="8"/>
        <v>"La Oliva Las Palmas" turismo</v>
      </c>
      <c r="J37" s="5" t="str">
        <f t="shared" si="9"/>
        <v>"La Oliva Las Palmas" opiniones viaje</v>
      </c>
      <c r="K37" s="5" t="str">
        <f t="shared" si="10"/>
        <v>"La Oliva Spain" travel review</v>
      </c>
      <c r="L37" s="5" t="str">
        <f t="shared" si="11"/>
        <v>"La Oliva Spain" things to do</v>
      </c>
      <c r="M37" s="2" t="s">
        <v>26</v>
      </c>
      <c r="N37" s="2" t="s">
        <v>27</v>
      </c>
      <c r="O37" s="6">
        <v>44927</v>
      </c>
      <c r="P37" s="2">
        <v>25</v>
      </c>
      <c r="Q37" s="2" t="s">
        <v>28</v>
      </c>
      <c r="R37" s="2">
        <v>0</v>
      </c>
      <c r="S37" s="2">
        <v>1</v>
      </c>
      <c r="T37" s="2">
        <v>30</v>
      </c>
      <c r="U37" s="7" t="s">
        <v>29</v>
      </c>
      <c r="V37" s="7" t="s">
        <v>30</v>
      </c>
      <c r="W37" s="8"/>
    </row>
    <row r="38" spans="1:23" ht="42.75" x14ac:dyDescent="0.45">
      <c r="A38" s="2">
        <v>37</v>
      </c>
      <c r="B38" s="3" t="str">
        <f t="shared" si="6"/>
        <v>ES-037</v>
      </c>
      <c r="C38" s="2" t="s">
        <v>90</v>
      </c>
      <c r="D38" s="2" t="s">
        <v>90</v>
      </c>
      <c r="E38" s="2" t="s">
        <v>83</v>
      </c>
      <c r="F38" s="4" t="s">
        <v>74</v>
      </c>
      <c r="G38" s="2">
        <v>1</v>
      </c>
      <c r="H38" s="3">
        <f t="shared" si="7"/>
        <v>7</v>
      </c>
      <c r="I38" s="5" t="str">
        <f t="shared" si="8"/>
        <v>"Santa Cruz de Tenerife" turismo</v>
      </c>
      <c r="J38" s="5" t="str">
        <f t="shared" si="9"/>
        <v>"Santa Cruz de Tenerife" opiniones viaje</v>
      </c>
      <c r="K38" s="5" t="str">
        <f t="shared" si="10"/>
        <v>"Santa Cruz de Tenerife Spain" travel review</v>
      </c>
      <c r="L38" s="5" t="str">
        <f t="shared" si="11"/>
        <v>"Santa Cruz de Tenerife Spain" things to do</v>
      </c>
      <c r="M38" s="2" t="s">
        <v>26</v>
      </c>
      <c r="N38" s="2" t="s">
        <v>27</v>
      </c>
      <c r="O38" s="6">
        <v>44927</v>
      </c>
      <c r="P38" s="2">
        <v>25</v>
      </c>
      <c r="Q38" s="2" t="s">
        <v>28</v>
      </c>
      <c r="R38" s="2">
        <v>0</v>
      </c>
      <c r="S38" s="2">
        <v>1</v>
      </c>
      <c r="T38" s="2">
        <v>30</v>
      </c>
      <c r="U38" s="7" t="s">
        <v>29</v>
      </c>
      <c r="V38" s="7" t="s">
        <v>30</v>
      </c>
      <c r="W38" s="8"/>
    </row>
    <row r="39" spans="1:23" ht="42.75" x14ac:dyDescent="0.45">
      <c r="A39" s="2">
        <v>38</v>
      </c>
      <c r="B39" s="3" t="str">
        <f t="shared" si="6"/>
        <v>ES-038</v>
      </c>
      <c r="C39" s="2" t="s">
        <v>91</v>
      </c>
      <c r="D39" s="2" t="s">
        <v>90</v>
      </c>
      <c r="E39" s="2" t="s">
        <v>83</v>
      </c>
      <c r="F39" s="4" t="s">
        <v>32</v>
      </c>
      <c r="G39" s="2">
        <v>1</v>
      </c>
      <c r="H39" s="3">
        <f t="shared" si="7"/>
        <v>8</v>
      </c>
      <c r="I39" s="5" t="str">
        <f t="shared" si="8"/>
        <v>"San Cristóbal de La Laguna Santa Cruz de Tenerife" turismo</v>
      </c>
      <c r="J39" s="5" t="str">
        <f t="shared" si="9"/>
        <v>"San Cristóbal de La Laguna Santa Cruz de Tenerife" opiniones viaje</v>
      </c>
      <c r="K39" s="5" t="str">
        <f t="shared" si="10"/>
        <v>"San Cristóbal de La Laguna Spain" travel review</v>
      </c>
      <c r="L39" s="5" t="str">
        <f t="shared" si="11"/>
        <v>"San Cristóbal de La Laguna Spain" things to do</v>
      </c>
      <c r="M39" s="2" t="s">
        <v>26</v>
      </c>
      <c r="N39" s="2" t="s">
        <v>27</v>
      </c>
      <c r="O39" s="6">
        <v>44927</v>
      </c>
      <c r="P39" s="2">
        <v>25</v>
      </c>
      <c r="Q39" s="2" t="s">
        <v>28</v>
      </c>
      <c r="R39" s="2">
        <v>0</v>
      </c>
      <c r="S39" s="2">
        <v>1</v>
      </c>
      <c r="T39" s="2">
        <v>30</v>
      </c>
      <c r="U39" s="7" t="s">
        <v>29</v>
      </c>
      <c r="V39" s="7" t="s">
        <v>30</v>
      </c>
      <c r="W39" s="8"/>
    </row>
    <row r="40" spans="1:23" ht="42.75" x14ac:dyDescent="0.45">
      <c r="A40" s="2">
        <v>39</v>
      </c>
      <c r="B40" s="3" t="str">
        <f t="shared" si="6"/>
        <v>ES-039</v>
      </c>
      <c r="C40" s="2" t="s">
        <v>92</v>
      </c>
      <c r="D40" s="2" t="s">
        <v>90</v>
      </c>
      <c r="E40" s="2" t="s">
        <v>83</v>
      </c>
      <c r="F40" s="4" t="s">
        <v>35</v>
      </c>
      <c r="G40" s="2">
        <v>1</v>
      </c>
      <c r="H40" s="3">
        <f t="shared" si="7"/>
        <v>9</v>
      </c>
      <c r="I40" s="5" t="str">
        <f t="shared" si="8"/>
        <v>"Puerto de la Cruz Santa Cruz de Tenerife" turismo</v>
      </c>
      <c r="J40" s="5" t="str">
        <f t="shared" si="9"/>
        <v>"Puerto de la Cruz Santa Cruz de Tenerife" opiniones viaje</v>
      </c>
      <c r="K40" s="5" t="str">
        <f t="shared" si="10"/>
        <v>"Puerto de la Cruz Spain" travel review</v>
      </c>
      <c r="L40" s="5" t="str">
        <f t="shared" si="11"/>
        <v>"Puerto de la Cruz Spain" things to do</v>
      </c>
      <c r="M40" s="2" t="s">
        <v>26</v>
      </c>
      <c r="N40" s="2" t="s">
        <v>27</v>
      </c>
      <c r="O40" s="6">
        <v>44927</v>
      </c>
      <c r="P40" s="2">
        <v>25</v>
      </c>
      <c r="Q40" s="2" t="s">
        <v>28</v>
      </c>
      <c r="R40" s="2">
        <v>0</v>
      </c>
      <c r="S40" s="2">
        <v>1</v>
      </c>
      <c r="T40" s="2">
        <v>30</v>
      </c>
      <c r="U40" s="7" t="s">
        <v>29</v>
      </c>
      <c r="V40" s="7" t="s">
        <v>30</v>
      </c>
      <c r="W40" s="8"/>
    </row>
    <row r="41" spans="1:23" ht="42.75" x14ac:dyDescent="0.45">
      <c r="A41" s="2">
        <v>40</v>
      </c>
      <c r="B41" s="3" t="str">
        <f t="shared" si="6"/>
        <v>ES-040</v>
      </c>
      <c r="C41" s="2" t="s">
        <v>93</v>
      </c>
      <c r="D41" s="2" t="s">
        <v>90</v>
      </c>
      <c r="E41" s="2" t="s">
        <v>83</v>
      </c>
      <c r="F41" s="4" t="s">
        <v>80</v>
      </c>
      <c r="G41" s="2">
        <v>1</v>
      </c>
      <c r="H41" s="3">
        <f t="shared" si="7"/>
        <v>10</v>
      </c>
      <c r="I41" s="5" t="str">
        <f t="shared" si="8"/>
        <v>"Adeje Santa Cruz de Tenerife" turismo</v>
      </c>
      <c r="J41" s="5" t="str">
        <f t="shared" si="9"/>
        <v>"Adeje Santa Cruz de Tenerife" opiniones viaje</v>
      </c>
      <c r="K41" s="5" t="str">
        <f t="shared" si="10"/>
        <v>"Adeje Spain" travel review</v>
      </c>
      <c r="L41" s="5" t="str">
        <f t="shared" si="11"/>
        <v>"Adeje Spain" things to do</v>
      </c>
      <c r="M41" s="2" t="s">
        <v>26</v>
      </c>
      <c r="N41" s="2" t="s">
        <v>27</v>
      </c>
      <c r="O41" s="6">
        <v>44927</v>
      </c>
      <c r="P41" s="2">
        <v>25</v>
      </c>
      <c r="Q41" s="2" t="s">
        <v>28</v>
      </c>
      <c r="R41" s="2">
        <v>0</v>
      </c>
      <c r="S41" s="2">
        <v>1</v>
      </c>
      <c r="T41" s="2">
        <v>30</v>
      </c>
      <c r="U41" s="7" t="s">
        <v>29</v>
      </c>
      <c r="V41" s="7" t="s">
        <v>30</v>
      </c>
      <c r="W41" s="8"/>
    </row>
    <row r="42" spans="1:23" ht="42.75" x14ac:dyDescent="0.45">
      <c r="A42" s="2">
        <v>41</v>
      </c>
      <c r="B42" s="3" t="str">
        <f t="shared" si="6"/>
        <v>ES-041</v>
      </c>
      <c r="C42" s="2" t="s">
        <v>94</v>
      </c>
      <c r="D42" s="2" t="s">
        <v>90</v>
      </c>
      <c r="E42" s="2" t="s">
        <v>83</v>
      </c>
      <c r="F42" s="4" t="s">
        <v>80</v>
      </c>
      <c r="G42" s="2">
        <v>1</v>
      </c>
      <c r="H42" s="3">
        <f t="shared" si="7"/>
        <v>1</v>
      </c>
      <c r="I42" s="5" t="str">
        <f t="shared" si="8"/>
        <v>"Arona Santa Cruz de Tenerife" turismo</v>
      </c>
      <c r="J42" s="5" t="str">
        <f t="shared" si="9"/>
        <v>"Arona Santa Cruz de Tenerife" opiniones viaje</v>
      </c>
      <c r="K42" s="5" t="str">
        <f t="shared" si="10"/>
        <v>"Arona Spain" travel review</v>
      </c>
      <c r="L42" s="5" t="str">
        <f t="shared" si="11"/>
        <v>"Arona Spain" things to do</v>
      </c>
      <c r="M42" s="2" t="s">
        <v>26</v>
      </c>
      <c r="N42" s="2" t="s">
        <v>27</v>
      </c>
      <c r="O42" s="6">
        <v>44927</v>
      </c>
      <c r="P42" s="2">
        <v>25</v>
      </c>
      <c r="Q42" s="2" t="s">
        <v>28</v>
      </c>
      <c r="R42" s="2">
        <v>0</v>
      </c>
      <c r="S42" s="2">
        <v>1</v>
      </c>
      <c r="T42" s="2">
        <v>30</v>
      </c>
      <c r="U42" s="7" t="s">
        <v>29</v>
      </c>
      <c r="V42" s="7" t="s">
        <v>30</v>
      </c>
      <c r="W42" s="8"/>
    </row>
    <row r="43" spans="1:23" ht="42.75" x14ac:dyDescent="0.45">
      <c r="A43" s="2">
        <v>42</v>
      </c>
      <c r="B43" s="3" t="str">
        <f t="shared" si="6"/>
        <v>ES-042</v>
      </c>
      <c r="C43" s="2" t="s">
        <v>95</v>
      </c>
      <c r="D43" s="2" t="s">
        <v>96</v>
      </c>
      <c r="E43" s="2" t="s">
        <v>96</v>
      </c>
      <c r="F43" s="4" t="s">
        <v>35</v>
      </c>
      <c r="G43" s="2">
        <v>1</v>
      </c>
      <c r="H43" s="3">
        <f t="shared" si="7"/>
        <v>2</v>
      </c>
      <c r="I43" s="5" t="str">
        <f t="shared" si="8"/>
        <v>"Santander Cantabria" turismo</v>
      </c>
      <c r="J43" s="5" t="str">
        <f t="shared" si="9"/>
        <v>"Santander Cantabria" opiniones viaje</v>
      </c>
      <c r="K43" s="5" t="str">
        <f t="shared" si="10"/>
        <v>"Santander Spain" travel review</v>
      </c>
      <c r="L43" s="5" t="str">
        <f t="shared" si="11"/>
        <v>"Santander Spain" things to do</v>
      </c>
      <c r="M43" s="2" t="s">
        <v>26</v>
      </c>
      <c r="N43" s="2" t="s">
        <v>27</v>
      </c>
      <c r="O43" s="6">
        <v>44927</v>
      </c>
      <c r="P43" s="2">
        <v>25</v>
      </c>
      <c r="Q43" s="2" t="s">
        <v>28</v>
      </c>
      <c r="R43" s="2">
        <v>0</v>
      </c>
      <c r="S43" s="2">
        <v>1</v>
      </c>
      <c r="T43" s="2">
        <v>30</v>
      </c>
      <c r="U43" s="7" t="s">
        <v>29</v>
      </c>
      <c r="V43" s="7" t="s">
        <v>30</v>
      </c>
      <c r="W43" s="8"/>
    </row>
    <row r="44" spans="1:23" ht="42.75" x14ac:dyDescent="0.45">
      <c r="A44" s="2">
        <v>43</v>
      </c>
      <c r="B44" s="3" t="str">
        <f t="shared" si="6"/>
        <v>ES-043</v>
      </c>
      <c r="C44" s="2" t="s">
        <v>97</v>
      </c>
      <c r="D44" s="2" t="s">
        <v>96</v>
      </c>
      <c r="E44" s="2" t="s">
        <v>96</v>
      </c>
      <c r="F44" s="4" t="s">
        <v>32</v>
      </c>
      <c r="G44" s="2">
        <v>1</v>
      </c>
      <c r="H44" s="3">
        <f t="shared" si="7"/>
        <v>3</v>
      </c>
      <c r="I44" s="5" t="str">
        <f t="shared" si="8"/>
        <v>"Santillana del Mar Cantabria" turismo</v>
      </c>
      <c r="J44" s="5" t="str">
        <f t="shared" si="9"/>
        <v>"Santillana del Mar Cantabria" opiniones viaje</v>
      </c>
      <c r="K44" s="5" t="str">
        <f t="shared" si="10"/>
        <v>"Santillana del Mar Spain" travel review</v>
      </c>
      <c r="L44" s="5" t="str">
        <f t="shared" si="11"/>
        <v>"Santillana del Mar Spain" things to do</v>
      </c>
      <c r="M44" s="2" t="s">
        <v>26</v>
      </c>
      <c r="N44" s="2" t="s">
        <v>27</v>
      </c>
      <c r="O44" s="6">
        <v>44927</v>
      </c>
      <c r="P44" s="2">
        <v>25</v>
      </c>
      <c r="Q44" s="2" t="s">
        <v>28</v>
      </c>
      <c r="R44" s="2">
        <v>0</v>
      </c>
      <c r="S44" s="2">
        <v>1</v>
      </c>
      <c r="T44" s="2">
        <v>30</v>
      </c>
      <c r="U44" s="7" t="s">
        <v>29</v>
      </c>
      <c r="V44" s="7" t="s">
        <v>30</v>
      </c>
      <c r="W44" s="8"/>
    </row>
    <row r="45" spans="1:23" ht="42.75" x14ac:dyDescent="0.45">
      <c r="A45" s="2">
        <v>44</v>
      </c>
      <c r="B45" s="3" t="str">
        <f t="shared" si="6"/>
        <v>ES-044</v>
      </c>
      <c r="C45" s="2" t="s">
        <v>98</v>
      </c>
      <c r="D45" s="2" t="s">
        <v>96</v>
      </c>
      <c r="E45" s="2" t="s">
        <v>96</v>
      </c>
      <c r="F45" s="4" t="s">
        <v>99</v>
      </c>
      <c r="G45" s="2">
        <v>2</v>
      </c>
      <c r="H45" s="3">
        <f t="shared" si="7"/>
        <v>4</v>
      </c>
      <c r="I45" s="5" t="str">
        <f t="shared" si="8"/>
        <v>"Comillas Cantabria" turismo</v>
      </c>
      <c r="J45" s="5" t="str">
        <f t="shared" si="9"/>
        <v>"Comillas Cantabria" opiniones viaje</v>
      </c>
      <c r="K45" s="5" t="str">
        <f t="shared" si="10"/>
        <v>"Comillas Spain" travel review</v>
      </c>
      <c r="L45" s="5" t="str">
        <f t="shared" si="11"/>
        <v>"Comillas Spain" things to do</v>
      </c>
      <c r="M45" s="2" t="s">
        <v>26</v>
      </c>
      <c r="N45" s="2" t="s">
        <v>27</v>
      </c>
      <c r="O45" s="6">
        <v>44927</v>
      </c>
      <c r="P45" s="2">
        <v>25</v>
      </c>
      <c r="Q45" s="2" t="s">
        <v>28</v>
      </c>
      <c r="R45" s="2">
        <v>0</v>
      </c>
      <c r="S45" s="2">
        <v>1</v>
      </c>
      <c r="T45" s="2">
        <v>30</v>
      </c>
      <c r="U45" s="7" t="s">
        <v>29</v>
      </c>
      <c r="V45" s="7" t="s">
        <v>30</v>
      </c>
      <c r="W45" s="8"/>
    </row>
    <row r="46" spans="1:23" ht="42.75" x14ac:dyDescent="0.45">
      <c r="A46" s="2">
        <v>45</v>
      </c>
      <c r="B46" s="3" t="str">
        <f t="shared" si="6"/>
        <v>ES-045</v>
      </c>
      <c r="C46" s="2" t="s">
        <v>100</v>
      </c>
      <c r="D46" s="2" t="s">
        <v>96</v>
      </c>
      <c r="E46" s="2" t="s">
        <v>96</v>
      </c>
      <c r="F46" s="4" t="s">
        <v>41</v>
      </c>
      <c r="G46" s="2">
        <v>2</v>
      </c>
      <c r="H46" s="3">
        <f t="shared" si="7"/>
        <v>5</v>
      </c>
      <c r="I46" s="5" t="str">
        <f t="shared" si="8"/>
        <v>"Castro-Urdiales Cantabria" turismo</v>
      </c>
      <c r="J46" s="5" t="str">
        <f t="shared" si="9"/>
        <v>"Castro-Urdiales Cantabria" opiniones viaje</v>
      </c>
      <c r="K46" s="5" t="str">
        <f t="shared" si="10"/>
        <v>"Castro-Urdiales Spain" travel review</v>
      </c>
      <c r="L46" s="5" t="str">
        <f t="shared" si="11"/>
        <v>"Castro-Urdiales Spain" things to do</v>
      </c>
      <c r="M46" s="2" t="s">
        <v>26</v>
      </c>
      <c r="N46" s="2" t="s">
        <v>27</v>
      </c>
      <c r="O46" s="6">
        <v>44927</v>
      </c>
      <c r="P46" s="2">
        <v>25</v>
      </c>
      <c r="Q46" s="2" t="s">
        <v>28</v>
      </c>
      <c r="R46" s="2">
        <v>0</v>
      </c>
      <c r="S46" s="2">
        <v>1</v>
      </c>
      <c r="T46" s="2">
        <v>30</v>
      </c>
      <c r="U46" s="7" t="s">
        <v>29</v>
      </c>
      <c r="V46" s="7" t="s">
        <v>30</v>
      </c>
      <c r="W46" s="8"/>
    </row>
    <row r="47" spans="1:23" ht="42.75" x14ac:dyDescent="0.45">
      <c r="A47" s="2">
        <v>46</v>
      </c>
      <c r="B47" s="3" t="str">
        <f t="shared" si="6"/>
        <v>ES-046</v>
      </c>
      <c r="C47" s="2" t="s">
        <v>101</v>
      </c>
      <c r="D47" s="2" t="s">
        <v>96</v>
      </c>
      <c r="E47" s="2" t="s">
        <v>96</v>
      </c>
      <c r="F47" s="4" t="s">
        <v>102</v>
      </c>
      <c r="G47" s="2">
        <v>2</v>
      </c>
      <c r="H47" s="3">
        <f t="shared" si="7"/>
        <v>6</v>
      </c>
      <c r="I47" s="5" t="str">
        <f t="shared" si="8"/>
        <v>"Potes Cantabria" turismo</v>
      </c>
      <c r="J47" s="5" t="str">
        <f t="shared" si="9"/>
        <v>"Potes Cantabria" opiniones viaje</v>
      </c>
      <c r="K47" s="5" t="str">
        <f t="shared" si="10"/>
        <v>"Potes Spain" travel review</v>
      </c>
      <c r="L47" s="5" t="str">
        <f t="shared" si="11"/>
        <v>"Potes Spain" things to do</v>
      </c>
      <c r="M47" s="2" t="s">
        <v>26</v>
      </c>
      <c r="N47" s="2" t="s">
        <v>27</v>
      </c>
      <c r="O47" s="6">
        <v>44927</v>
      </c>
      <c r="P47" s="2">
        <v>25</v>
      </c>
      <c r="Q47" s="2" t="s">
        <v>28</v>
      </c>
      <c r="R47" s="2">
        <v>0</v>
      </c>
      <c r="S47" s="2">
        <v>1</v>
      </c>
      <c r="T47" s="2">
        <v>30</v>
      </c>
      <c r="U47" s="7" t="s">
        <v>29</v>
      </c>
      <c r="V47" s="7" t="s">
        <v>30</v>
      </c>
      <c r="W47" s="8"/>
    </row>
    <row r="48" spans="1:23" ht="42.75" x14ac:dyDescent="0.45">
      <c r="A48" s="2">
        <v>47</v>
      </c>
      <c r="B48" s="3" t="str">
        <f t="shared" si="6"/>
        <v>ES-047</v>
      </c>
      <c r="C48" s="2" t="s">
        <v>103</v>
      </c>
      <c r="D48" s="2" t="s">
        <v>103</v>
      </c>
      <c r="E48" s="2" t="s">
        <v>104</v>
      </c>
      <c r="F48" s="4" t="s">
        <v>25</v>
      </c>
      <c r="G48" s="2">
        <v>1</v>
      </c>
      <c r="H48" s="3">
        <f t="shared" si="7"/>
        <v>7</v>
      </c>
      <c r="I48" s="5" t="str">
        <f t="shared" si="8"/>
        <v>"Valladolid" turismo</v>
      </c>
      <c r="J48" s="5" t="str">
        <f t="shared" si="9"/>
        <v>"Valladolid" opiniones viaje</v>
      </c>
      <c r="K48" s="5" t="str">
        <f t="shared" si="10"/>
        <v>"Valladolid Spain" travel review</v>
      </c>
      <c r="L48" s="5" t="str">
        <f t="shared" si="11"/>
        <v>"Valladolid Spain" things to do</v>
      </c>
      <c r="M48" s="2" t="s">
        <v>26</v>
      </c>
      <c r="N48" s="2" t="s">
        <v>27</v>
      </c>
      <c r="O48" s="6">
        <v>44927</v>
      </c>
      <c r="P48" s="2">
        <v>25</v>
      </c>
      <c r="Q48" s="2" t="s">
        <v>28</v>
      </c>
      <c r="R48" s="2">
        <v>0</v>
      </c>
      <c r="S48" s="2">
        <v>1</v>
      </c>
      <c r="T48" s="2">
        <v>30</v>
      </c>
      <c r="U48" s="7" t="s">
        <v>29</v>
      </c>
      <c r="V48" s="7" t="s">
        <v>30</v>
      </c>
      <c r="W48" s="8"/>
    </row>
    <row r="49" spans="1:23" ht="42.75" x14ac:dyDescent="0.45">
      <c r="A49" s="2">
        <v>48</v>
      </c>
      <c r="B49" s="3" t="str">
        <f t="shared" si="6"/>
        <v>ES-048</v>
      </c>
      <c r="C49" s="2" t="s">
        <v>105</v>
      </c>
      <c r="D49" s="2" t="s">
        <v>105</v>
      </c>
      <c r="E49" s="2" t="s">
        <v>104</v>
      </c>
      <c r="F49" s="4" t="s">
        <v>32</v>
      </c>
      <c r="G49" s="2">
        <v>1</v>
      </c>
      <c r="H49" s="3">
        <f t="shared" si="7"/>
        <v>8</v>
      </c>
      <c r="I49" s="5" t="str">
        <f t="shared" si="8"/>
        <v>"Burgos" turismo</v>
      </c>
      <c r="J49" s="5" t="str">
        <f t="shared" si="9"/>
        <v>"Burgos" opiniones viaje</v>
      </c>
      <c r="K49" s="5" t="str">
        <f t="shared" si="10"/>
        <v>"Burgos Spain" travel review</v>
      </c>
      <c r="L49" s="5" t="str">
        <f t="shared" si="11"/>
        <v>"Burgos Spain" things to do</v>
      </c>
      <c r="M49" s="2" t="s">
        <v>26</v>
      </c>
      <c r="N49" s="2" t="s">
        <v>27</v>
      </c>
      <c r="O49" s="6">
        <v>44927</v>
      </c>
      <c r="P49" s="2">
        <v>25</v>
      </c>
      <c r="Q49" s="2" t="s">
        <v>28</v>
      </c>
      <c r="R49" s="2">
        <v>0</v>
      </c>
      <c r="S49" s="2">
        <v>1</v>
      </c>
      <c r="T49" s="2">
        <v>30</v>
      </c>
      <c r="U49" s="7" t="s">
        <v>29</v>
      </c>
      <c r="V49" s="7" t="s">
        <v>30</v>
      </c>
      <c r="W49" s="8"/>
    </row>
    <row r="50" spans="1:23" ht="42.75" x14ac:dyDescent="0.45">
      <c r="A50" s="2">
        <v>49</v>
      </c>
      <c r="B50" s="3" t="str">
        <f t="shared" si="6"/>
        <v>ES-049</v>
      </c>
      <c r="C50" s="2" t="s">
        <v>106</v>
      </c>
      <c r="D50" s="2" t="s">
        <v>106</v>
      </c>
      <c r="E50" s="2" t="s">
        <v>104</v>
      </c>
      <c r="F50" s="4" t="s">
        <v>32</v>
      </c>
      <c r="G50" s="2">
        <v>1</v>
      </c>
      <c r="H50" s="3">
        <f t="shared" si="7"/>
        <v>9</v>
      </c>
      <c r="I50" s="5" t="str">
        <f t="shared" si="8"/>
        <v>"León" turismo</v>
      </c>
      <c r="J50" s="5" t="str">
        <f t="shared" si="9"/>
        <v>"León" opiniones viaje</v>
      </c>
      <c r="K50" s="5" t="str">
        <f t="shared" si="10"/>
        <v>"León Spain" travel review</v>
      </c>
      <c r="L50" s="5" t="str">
        <f t="shared" si="11"/>
        <v>"León Spain" things to do</v>
      </c>
      <c r="M50" s="2" t="s">
        <v>26</v>
      </c>
      <c r="N50" s="2" t="s">
        <v>27</v>
      </c>
      <c r="O50" s="6">
        <v>44927</v>
      </c>
      <c r="P50" s="2">
        <v>25</v>
      </c>
      <c r="Q50" s="2" t="s">
        <v>28</v>
      </c>
      <c r="R50" s="2">
        <v>0</v>
      </c>
      <c r="S50" s="2">
        <v>1</v>
      </c>
      <c r="T50" s="2">
        <v>30</v>
      </c>
      <c r="U50" s="7" t="s">
        <v>29</v>
      </c>
      <c r="V50" s="7" t="s">
        <v>30</v>
      </c>
      <c r="W50" s="8"/>
    </row>
    <row r="51" spans="1:23" ht="42.75" x14ac:dyDescent="0.45">
      <c r="A51" s="2">
        <v>50</v>
      </c>
      <c r="B51" s="3" t="str">
        <f t="shared" si="6"/>
        <v>ES-050</v>
      </c>
      <c r="C51" s="2" t="s">
        <v>107</v>
      </c>
      <c r="D51" s="2" t="s">
        <v>107</v>
      </c>
      <c r="E51" s="2" t="s">
        <v>104</v>
      </c>
      <c r="F51" s="4" t="s">
        <v>32</v>
      </c>
      <c r="G51" s="2">
        <v>1</v>
      </c>
      <c r="H51" s="3">
        <f t="shared" si="7"/>
        <v>10</v>
      </c>
      <c r="I51" s="5" t="str">
        <f t="shared" si="8"/>
        <v>"Salamanca" turismo</v>
      </c>
      <c r="J51" s="5" t="str">
        <f t="shared" si="9"/>
        <v>"Salamanca" opiniones viaje</v>
      </c>
      <c r="K51" s="5" t="str">
        <f t="shared" si="10"/>
        <v>"Salamanca Spain" travel review</v>
      </c>
      <c r="L51" s="5" t="str">
        <f t="shared" si="11"/>
        <v>"Salamanca Spain" things to do</v>
      </c>
      <c r="M51" s="2" t="s">
        <v>26</v>
      </c>
      <c r="N51" s="2" t="s">
        <v>27</v>
      </c>
      <c r="O51" s="6">
        <v>44927</v>
      </c>
      <c r="P51" s="2">
        <v>25</v>
      </c>
      <c r="Q51" s="2" t="s">
        <v>28</v>
      </c>
      <c r="R51" s="2">
        <v>0</v>
      </c>
      <c r="S51" s="2">
        <v>1</v>
      </c>
      <c r="T51" s="2">
        <v>30</v>
      </c>
      <c r="U51" s="7" t="s">
        <v>29</v>
      </c>
      <c r="V51" s="7" t="s">
        <v>30</v>
      </c>
      <c r="W51" s="8"/>
    </row>
    <row r="52" spans="1:23" ht="42.75" x14ac:dyDescent="0.45">
      <c r="A52" s="2">
        <v>51</v>
      </c>
      <c r="B52" s="3" t="str">
        <f t="shared" si="6"/>
        <v>ES-051</v>
      </c>
      <c r="C52" s="2" t="s">
        <v>108</v>
      </c>
      <c r="D52" s="2" t="s">
        <v>108</v>
      </c>
      <c r="E52" s="2" t="s">
        <v>104</v>
      </c>
      <c r="F52" s="4" t="s">
        <v>32</v>
      </c>
      <c r="G52" s="2">
        <v>1</v>
      </c>
      <c r="H52" s="3">
        <f t="shared" si="7"/>
        <v>1</v>
      </c>
      <c r="I52" s="5" t="str">
        <f t="shared" si="8"/>
        <v>"Segovia" turismo</v>
      </c>
      <c r="J52" s="5" t="str">
        <f t="shared" si="9"/>
        <v>"Segovia" opiniones viaje</v>
      </c>
      <c r="K52" s="5" t="str">
        <f t="shared" si="10"/>
        <v>"Segovia Spain" travel review</v>
      </c>
      <c r="L52" s="5" t="str">
        <f t="shared" si="11"/>
        <v>"Segovia Spain" things to do</v>
      </c>
      <c r="M52" s="2" t="s">
        <v>26</v>
      </c>
      <c r="N52" s="2" t="s">
        <v>27</v>
      </c>
      <c r="O52" s="6">
        <v>44927</v>
      </c>
      <c r="P52" s="2">
        <v>25</v>
      </c>
      <c r="Q52" s="2" t="s">
        <v>28</v>
      </c>
      <c r="R52" s="2">
        <v>0</v>
      </c>
      <c r="S52" s="2">
        <v>1</v>
      </c>
      <c r="T52" s="2">
        <v>30</v>
      </c>
      <c r="U52" s="7" t="s">
        <v>29</v>
      </c>
      <c r="V52" s="7" t="s">
        <v>30</v>
      </c>
      <c r="W52" s="8"/>
    </row>
    <row r="53" spans="1:23" ht="42.75" x14ac:dyDescent="0.45">
      <c r="A53" s="2">
        <v>52</v>
      </c>
      <c r="B53" s="3" t="str">
        <f t="shared" si="6"/>
        <v>ES-052</v>
      </c>
      <c r="C53" s="2" t="s">
        <v>109</v>
      </c>
      <c r="D53" s="2" t="s">
        <v>109</v>
      </c>
      <c r="E53" s="2" t="s">
        <v>104</v>
      </c>
      <c r="F53" s="4" t="s">
        <v>32</v>
      </c>
      <c r="G53" s="2">
        <v>1</v>
      </c>
      <c r="H53" s="3">
        <f t="shared" si="7"/>
        <v>2</v>
      </c>
      <c r="I53" s="5" t="str">
        <f t="shared" si="8"/>
        <v>"Ávila" turismo</v>
      </c>
      <c r="J53" s="5" t="str">
        <f t="shared" si="9"/>
        <v>"Ávila" opiniones viaje</v>
      </c>
      <c r="K53" s="5" t="str">
        <f t="shared" si="10"/>
        <v>"Ávila Spain" travel review</v>
      </c>
      <c r="L53" s="5" t="str">
        <f t="shared" si="11"/>
        <v>"Ávila Spain" things to do</v>
      </c>
      <c r="M53" s="2" t="s">
        <v>26</v>
      </c>
      <c r="N53" s="2" t="s">
        <v>27</v>
      </c>
      <c r="O53" s="6">
        <v>44927</v>
      </c>
      <c r="P53" s="2">
        <v>25</v>
      </c>
      <c r="Q53" s="2" t="s">
        <v>28</v>
      </c>
      <c r="R53" s="2">
        <v>0</v>
      </c>
      <c r="S53" s="2">
        <v>1</v>
      </c>
      <c r="T53" s="2">
        <v>30</v>
      </c>
      <c r="U53" s="7" t="s">
        <v>29</v>
      </c>
      <c r="V53" s="7" t="s">
        <v>30</v>
      </c>
      <c r="W53" s="8"/>
    </row>
    <row r="54" spans="1:23" ht="42.75" x14ac:dyDescent="0.45">
      <c r="A54" s="2">
        <v>53</v>
      </c>
      <c r="B54" s="3" t="str">
        <f t="shared" si="6"/>
        <v>ES-053</v>
      </c>
      <c r="C54" s="2" t="s">
        <v>110</v>
      </c>
      <c r="D54" s="2" t="s">
        <v>110</v>
      </c>
      <c r="E54" s="2" t="s">
        <v>104</v>
      </c>
      <c r="F54" s="4" t="s">
        <v>55</v>
      </c>
      <c r="G54" s="2">
        <v>2</v>
      </c>
      <c r="H54" s="3">
        <f t="shared" si="7"/>
        <v>3</v>
      </c>
      <c r="I54" s="5" t="str">
        <f t="shared" si="8"/>
        <v>"Soria" turismo</v>
      </c>
      <c r="J54" s="5" t="str">
        <f t="shared" si="9"/>
        <v>"Soria" opiniones viaje</v>
      </c>
      <c r="K54" s="5" t="str">
        <f t="shared" si="10"/>
        <v>"Soria Spain" travel review</v>
      </c>
      <c r="L54" s="5" t="str">
        <f t="shared" si="11"/>
        <v>"Soria Spain" things to do</v>
      </c>
      <c r="M54" s="2" t="s">
        <v>26</v>
      </c>
      <c r="N54" s="2" t="s">
        <v>27</v>
      </c>
      <c r="O54" s="6">
        <v>44927</v>
      </c>
      <c r="P54" s="2">
        <v>25</v>
      </c>
      <c r="Q54" s="2" t="s">
        <v>28</v>
      </c>
      <c r="R54" s="2">
        <v>0</v>
      </c>
      <c r="S54" s="2">
        <v>1</v>
      </c>
      <c r="T54" s="2">
        <v>30</v>
      </c>
      <c r="U54" s="7" t="s">
        <v>29</v>
      </c>
      <c r="V54" s="7" t="s">
        <v>30</v>
      </c>
      <c r="W54" s="8"/>
    </row>
    <row r="55" spans="1:23" ht="42.75" x14ac:dyDescent="0.45">
      <c r="A55" s="2">
        <v>54</v>
      </c>
      <c r="B55" s="3" t="str">
        <f t="shared" si="6"/>
        <v>ES-054</v>
      </c>
      <c r="C55" s="2" t="s">
        <v>111</v>
      </c>
      <c r="D55" s="2" t="s">
        <v>111</v>
      </c>
      <c r="E55" s="2" t="s">
        <v>104</v>
      </c>
      <c r="F55" s="4" t="s">
        <v>32</v>
      </c>
      <c r="G55" s="2">
        <v>2</v>
      </c>
      <c r="H55" s="3">
        <f t="shared" si="7"/>
        <v>4</v>
      </c>
      <c r="I55" s="5" t="str">
        <f t="shared" si="8"/>
        <v>"Zamora" turismo</v>
      </c>
      <c r="J55" s="5" t="str">
        <f t="shared" si="9"/>
        <v>"Zamora" opiniones viaje</v>
      </c>
      <c r="K55" s="5" t="str">
        <f t="shared" si="10"/>
        <v>"Zamora Spain" travel review</v>
      </c>
      <c r="L55" s="5" t="str">
        <f t="shared" si="11"/>
        <v>"Zamora Spain" things to do</v>
      </c>
      <c r="M55" s="2" t="s">
        <v>26</v>
      </c>
      <c r="N55" s="2" t="s">
        <v>27</v>
      </c>
      <c r="O55" s="6">
        <v>44927</v>
      </c>
      <c r="P55" s="2">
        <v>25</v>
      </c>
      <c r="Q55" s="2" t="s">
        <v>28</v>
      </c>
      <c r="R55" s="2">
        <v>0</v>
      </c>
      <c r="S55" s="2">
        <v>1</v>
      </c>
      <c r="T55" s="2">
        <v>30</v>
      </c>
      <c r="U55" s="7" t="s">
        <v>29</v>
      </c>
      <c r="V55" s="7" t="s">
        <v>30</v>
      </c>
      <c r="W55" s="8"/>
    </row>
    <row r="56" spans="1:23" ht="42.75" x14ac:dyDescent="0.45">
      <c r="A56" s="2">
        <v>55</v>
      </c>
      <c r="B56" s="3" t="str">
        <f t="shared" si="6"/>
        <v>ES-055</v>
      </c>
      <c r="C56" s="2" t="s">
        <v>112</v>
      </c>
      <c r="D56" s="2" t="s">
        <v>106</v>
      </c>
      <c r="E56" s="2" t="s">
        <v>104</v>
      </c>
      <c r="F56" s="4" t="s">
        <v>39</v>
      </c>
      <c r="G56" s="2">
        <v>2</v>
      </c>
      <c r="H56" s="3">
        <f t="shared" si="7"/>
        <v>5</v>
      </c>
      <c r="I56" s="5" t="str">
        <f t="shared" si="8"/>
        <v>"Ponferrada León" turismo</v>
      </c>
      <c r="J56" s="5" t="str">
        <f t="shared" si="9"/>
        <v>"Ponferrada León" opiniones viaje</v>
      </c>
      <c r="K56" s="5" t="str">
        <f t="shared" si="10"/>
        <v>"Ponferrada Spain" travel review</v>
      </c>
      <c r="L56" s="5" t="str">
        <f t="shared" si="11"/>
        <v>"Ponferrada Spain" things to do</v>
      </c>
      <c r="M56" s="2" t="s">
        <v>26</v>
      </c>
      <c r="N56" s="2" t="s">
        <v>27</v>
      </c>
      <c r="O56" s="6">
        <v>44927</v>
      </c>
      <c r="P56" s="2">
        <v>25</v>
      </c>
      <c r="Q56" s="2" t="s">
        <v>28</v>
      </c>
      <c r="R56" s="2">
        <v>0</v>
      </c>
      <c r="S56" s="2">
        <v>1</v>
      </c>
      <c r="T56" s="2">
        <v>30</v>
      </c>
      <c r="U56" s="7" t="s">
        <v>29</v>
      </c>
      <c r="V56" s="7" t="s">
        <v>30</v>
      </c>
      <c r="W56" s="8"/>
    </row>
    <row r="57" spans="1:23" ht="42.75" x14ac:dyDescent="0.45">
      <c r="A57" s="2">
        <v>56</v>
      </c>
      <c r="B57" s="3" t="str">
        <f t="shared" si="6"/>
        <v>ES-056</v>
      </c>
      <c r="C57" s="2" t="s">
        <v>113</v>
      </c>
      <c r="D57" s="2" t="s">
        <v>107</v>
      </c>
      <c r="E57" s="2" t="s">
        <v>104</v>
      </c>
      <c r="F57" s="4" t="s">
        <v>32</v>
      </c>
      <c r="G57" s="2">
        <v>2</v>
      </c>
      <c r="H57" s="3">
        <f t="shared" si="7"/>
        <v>6</v>
      </c>
      <c r="I57" s="5" t="str">
        <f t="shared" si="8"/>
        <v>"Ciudad Rodrigo Salamanca" turismo</v>
      </c>
      <c r="J57" s="5" t="str">
        <f t="shared" si="9"/>
        <v>"Ciudad Rodrigo Salamanca" opiniones viaje</v>
      </c>
      <c r="K57" s="5" t="str">
        <f t="shared" si="10"/>
        <v>"Ciudad Rodrigo Spain" travel review</v>
      </c>
      <c r="L57" s="5" t="str">
        <f t="shared" si="11"/>
        <v>"Ciudad Rodrigo Spain" things to do</v>
      </c>
      <c r="M57" s="2" t="s">
        <v>26</v>
      </c>
      <c r="N57" s="2" t="s">
        <v>27</v>
      </c>
      <c r="O57" s="6">
        <v>44927</v>
      </c>
      <c r="P57" s="2">
        <v>25</v>
      </c>
      <c r="Q57" s="2" t="s">
        <v>28</v>
      </c>
      <c r="R57" s="2">
        <v>0</v>
      </c>
      <c r="S57" s="2">
        <v>1</v>
      </c>
      <c r="T57" s="2">
        <v>30</v>
      </c>
      <c r="U57" s="7" t="s">
        <v>29</v>
      </c>
      <c r="V57" s="7" t="s">
        <v>30</v>
      </c>
      <c r="W57" s="8"/>
    </row>
    <row r="58" spans="1:23" ht="42.75" x14ac:dyDescent="0.45">
      <c r="A58" s="2">
        <v>57</v>
      </c>
      <c r="B58" s="3" t="str">
        <f t="shared" si="6"/>
        <v>ES-057</v>
      </c>
      <c r="C58" s="2" t="s">
        <v>114</v>
      </c>
      <c r="D58" s="2" t="s">
        <v>114</v>
      </c>
      <c r="E58" s="2" t="s">
        <v>115</v>
      </c>
      <c r="F58" s="4" t="s">
        <v>32</v>
      </c>
      <c r="G58" s="2">
        <v>1</v>
      </c>
      <c r="H58" s="3">
        <f t="shared" si="7"/>
        <v>7</v>
      </c>
      <c r="I58" s="5" t="str">
        <f t="shared" si="8"/>
        <v>"Toledo" turismo</v>
      </c>
      <c r="J58" s="5" t="str">
        <f t="shared" si="9"/>
        <v>"Toledo" opiniones viaje</v>
      </c>
      <c r="K58" s="5" t="str">
        <f t="shared" si="10"/>
        <v>"Toledo Spain" travel review</v>
      </c>
      <c r="L58" s="5" t="str">
        <f t="shared" si="11"/>
        <v>"Toledo Spain" things to do</v>
      </c>
      <c r="M58" s="2" t="s">
        <v>26</v>
      </c>
      <c r="N58" s="2" t="s">
        <v>27</v>
      </c>
      <c r="O58" s="6">
        <v>44927</v>
      </c>
      <c r="P58" s="2">
        <v>25</v>
      </c>
      <c r="Q58" s="2" t="s">
        <v>28</v>
      </c>
      <c r="R58" s="2">
        <v>0</v>
      </c>
      <c r="S58" s="2">
        <v>1</v>
      </c>
      <c r="T58" s="2">
        <v>30</v>
      </c>
      <c r="U58" s="7" t="s">
        <v>29</v>
      </c>
      <c r="V58" s="7" t="s">
        <v>30</v>
      </c>
      <c r="W58" s="8"/>
    </row>
    <row r="59" spans="1:23" ht="42.75" x14ac:dyDescent="0.45">
      <c r="A59" s="2">
        <v>58</v>
      </c>
      <c r="B59" s="3" t="str">
        <f t="shared" si="6"/>
        <v>ES-058</v>
      </c>
      <c r="C59" s="2" t="s">
        <v>116</v>
      </c>
      <c r="D59" s="2" t="s">
        <v>116</v>
      </c>
      <c r="E59" s="2" t="s">
        <v>115</v>
      </c>
      <c r="F59" s="4" t="s">
        <v>39</v>
      </c>
      <c r="G59" s="2">
        <v>1</v>
      </c>
      <c r="H59" s="3">
        <f t="shared" si="7"/>
        <v>8</v>
      </c>
      <c r="I59" s="5" t="str">
        <f t="shared" si="8"/>
        <v>"Cuenca" turismo</v>
      </c>
      <c r="J59" s="5" t="str">
        <f t="shared" si="9"/>
        <v>"Cuenca" opiniones viaje</v>
      </c>
      <c r="K59" s="5" t="str">
        <f t="shared" si="10"/>
        <v>"Cuenca Spain" travel review</v>
      </c>
      <c r="L59" s="5" t="str">
        <f t="shared" si="11"/>
        <v>"Cuenca Spain" things to do</v>
      </c>
      <c r="M59" s="2" t="s">
        <v>26</v>
      </c>
      <c r="N59" s="2" t="s">
        <v>27</v>
      </c>
      <c r="O59" s="6">
        <v>44927</v>
      </c>
      <c r="P59" s="2">
        <v>25</v>
      </c>
      <c r="Q59" s="2" t="s">
        <v>28</v>
      </c>
      <c r="R59" s="2">
        <v>0</v>
      </c>
      <c r="S59" s="2">
        <v>1</v>
      </c>
      <c r="T59" s="2">
        <v>30</v>
      </c>
      <c r="U59" s="7" t="s">
        <v>29</v>
      </c>
      <c r="V59" s="7" t="s">
        <v>30</v>
      </c>
      <c r="W59" s="8"/>
    </row>
    <row r="60" spans="1:23" ht="42.75" x14ac:dyDescent="0.45">
      <c r="A60" s="2">
        <v>59</v>
      </c>
      <c r="B60" s="3" t="str">
        <f t="shared" si="6"/>
        <v>ES-059</v>
      </c>
      <c r="C60" s="2" t="s">
        <v>117</v>
      </c>
      <c r="D60" s="2" t="s">
        <v>117</v>
      </c>
      <c r="E60" s="2" t="s">
        <v>115</v>
      </c>
      <c r="F60" s="4" t="s">
        <v>118</v>
      </c>
      <c r="G60" s="2">
        <v>2</v>
      </c>
      <c r="H60" s="3">
        <f t="shared" si="7"/>
        <v>9</v>
      </c>
      <c r="I60" s="5" t="str">
        <f t="shared" si="8"/>
        <v>"Albacete" turismo</v>
      </c>
      <c r="J60" s="5" t="str">
        <f t="shared" si="9"/>
        <v>"Albacete" opiniones viaje</v>
      </c>
      <c r="K60" s="5" t="str">
        <f t="shared" si="10"/>
        <v>"Albacete Spain" travel review</v>
      </c>
      <c r="L60" s="5" t="str">
        <f t="shared" si="11"/>
        <v>"Albacete Spain" things to do</v>
      </c>
      <c r="M60" s="2" t="s">
        <v>26</v>
      </c>
      <c r="N60" s="2" t="s">
        <v>27</v>
      </c>
      <c r="O60" s="6">
        <v>44927</v>
      </c>
      <c r="P60" s="2">
        <v>25</v>
      </c>
      <c r="Q60" s="2" t="s">
        <v>28</v>
      </c>
      <c r="R60" s="2">
        <v>0</v>
      </c>
      <c r="S60" s="2">
        <v>1</v>
      </c>
      <c r="T60" s="2">
        <v>30</v>
      </c>
      <c r="U60" s="7" t="s">
        <v>29</v>
      </c>
      <c r="V60" s="7" t="s">
        <v>30</v>
      </c>
      <c r="W60" s="8"/>
    </row>
    <row r="61" spans="1:23" ht="42.75" x14ac:dyDescent="0.45">
      <c r="A61" s="2">
        <v>60</v>
      </c>
      <c r="B61" s="3" t="str">
        <f t="shared" si="6"/>
        <v>ES-060</v>
      </c>
      <c r="C61" s="2" t="s">
        <v>119</v>
      </c>
      <c r="D61" s="2" t="s">
        <v>119</v>
      </c>
      <c r="E61" s="2" t="s">
        <v>115</v>
      </c>
      <c r="F61" s="4" t="s">
        <v>25</v>
      </c>
      <c r="G61" s="2">
        <v>2</v>
      </c>
      <c r="H61" s="3">
        <f t="shared" si="7"/>
        <v>10</v>
      </c>
      <c r="I61" s="5" t="str">
        <f t="shared" si="8"/>
        <v>"Ciudad Real" turismo</v>
      </c>
      <c r="J61" s="5" t="str">
        <f t="shared" si="9"/>
        <v>"Ciudad Real" opiniones viaje</v>
      </c>
      <c r="K61" s="5" t="str">
        <f t="shared" si="10"/>
        <v>"Ciudad Real Spain" travel review</v>
      </c>
      <c r="L61" s="5" t="str">
        <f t="shared" si="11"/>
        <v>"Ciudad Real Spain" things to do</v>
      </c>
      <c r="M61" s="2" t="s">
        <v>26</v>
      </c>
      <c r="N61" s="2" t="s">
        <v>27</v>
      </c>
      <c r="O61" s="6">
        <v>44927</v>
      </c>
      <c r="P61" s="2">
        <v>25</v>
      </c>
      <c r="Q61" s="2" t="s">
        <v>28</v>
      </c>
      <c r="R61" s="2">
        <v>0</v>
      </c>
      <c r="S61" s="2">
        <v>1</v>
      </c>
      <c r="T61" s="2">
        <v>30</v>
      </c>
      <c r="U61" s="7" t="s">
        <v>29</v>
      </c>
      <c r="V61" s="7" t="s">
        <v>30</v>
      </c>
      <c r="W61" s="8"/>
    </row>
    <row r="62" spans="1:23" ht="42.75" x14ac:dyDescent="0.45">
      <c r="A62" s="2">
        <v>61</v>
      </c>
      <c r="B62" s="3" t="str">
        <f t="shared" si="6"/>
        <v>ES-061</v>
      </c>
      <c r="C62" s="2" t="s">
        <v>120</v>
      </c>
      <c r="D62" s="2" t="s">
        <v>121</v>
      </c>
      <c r="E62" s="2" t="s">
        <v>115</v>
      </c>
      <c r="F62" s="4" t="s">
        <v>32</v>
      </c>
      <c r="G62" s="2">
        <v>2</v>
      </c>
      <c r="H62" s="3">
        <f t="shared" si="7"/>
        <v>1</v>
      </c>
      <c r="I62" s="5" t="str">
        <f t="shared" si="8"/>
        <v>"Sigüenza Guadalajara" turismo</v>
      </c>
      <c r="J62" s="5" t="str">
        <f t="shared" si="9"/>
        <v>"Sigüenza Guadalajara" opiniones viaje</v>
      </c>
      <c r="K62" s="5" t="str">
        <f t="shared" si="10"/>
        <v>"Sigüenza Spain" travel review</v>
      </c>
      <c r="L62" s="5" t="str">
        <f t="shared" si="11"/>
        <v>"Sigüenza Spain" things to do</v>
      </c>
      <c r="M62" s="2" t="s">
        <v>26</v>
      </c>
      <c r="N62" s="2" t="s">
        <v>27</v>
      </c>
      <c r="O62" s="6">
        <v>44927</v>
      </c>
      <c r="P62" s="2">
        <v>25</v>
      </c>
      <c r="Q62" s="2" t="s">
        <v>28</v>
      </c>
      <c r="R62" s="2">
        <v>0</v>
      </c>
      <c r="S62" s="2">
        <v>1</v>
      </c>
      <c r="T62" s="2">
        <v>30</v>
      </c>
      <c r="U62" s="7" t="s">
        <v>29</v>
      </c>
      <c r="V62" s="7" t="s">
        <v>30</v>
      </c>
      <c r="W62" s="8"/>
    </row>
    <row r="63" spans="1:23" ht="42.75" x14ac:dyDescent="0.45">
      <c r="A63" s="2">
        <v>62</v>
      </c>
      <c r="B63" s="3" t="str">
        <f t="shared" si="6"/>
        <v>ES-062</v>
      </c>
      <c r="C63" s="2" t="s">
        <v>122</v>
      </c>
      <c r="D63" s="2" t="s">
        <v>114</v>
      </c>
      <c r="E63" s="2" t="s">
        <v>115</v>
      </c>
      <c r="F63" s="4" t="s">
        <v>60</v>
      </c>
      <c r="G63" s="2">
        <v>2</v>
      </c>
      <c r="H63" s="3">
        <f t="shared" si="7"/>
        <v>2</v>
      </c>
      <c r="I63" s="5" t="str">
        <f t="shared" si="8"/>
        <v>"Consuegra Toledo" turismo</v>
      </c>
      <c r="J63" s="5" t="str">
        <f t="shared" si="9"/>
        <v>"Consuegra Toledo" opiniones viaje</v>
      </c>
      <c r="K63" s="5" t="str">
        <f t="shared" si="10"/>
        <v>"Consuegra Spain" travel review</v>
      </c>
      <c r="L63" s="5" t="str">
        <f t="shared" si="11"/>
        <v>"Consuegra Spain" things to do</v>
      </c>
      <c r="M63" s="2" t="s">
        <v>26</v>
      </c>
      <c r="N63" s="2" t="s">
        <v>27</v>
      </c>
      <c r="O63" s="6">
        <v>44927</v>
      </c>
      <c r="P63" s="2">
        <v>25</v>
      </c>
      <c r="Q63" s="2" t="s">
        <v>28</v>
      </c>
      <c r="R63" s="2">
        <v>0</v>
      </c>
      <c r="S63" s="2">
        <v>1</v>
      </c>
      <c r="T63" s="2">
        <v>30</v>
      </c>
      <c r="U63" s="7" t="s">
        <v>29</v>
      </c>
      <c r="V63" s="7" t="s">
        <v>30</v>
      </c>
      <c r="W63" s="8"/>
    </row>
    <row r="64" spans="1:23" ht="42.75" x14ac:dyDescent="0.45">
      <c r="A64" s="2">
        <v>63</v>
      </c>
      <c r="B64" s="3" t="str">
        <f t="shared" si="6"/>
        <v>ES-063</v>
      </c>
      <c r="C64" s="2" t="s">
        <v>123</v>
      </c>
      <c r="D64" s="2" t="s">
        <v>119</v>
      </c>
      <c r="E64" s="2" t="s">
        <v>115</v>
      </c>
      <c r="F64" s="4" t="s">
        <v>32</v>
      </c>
      <c r="G64" s="2">
        <v>2</v>
      </c>
      <c r="H64" s="3">
        <f t="shared" si="7"/>
        <v>3</v>
      </c>
      <c r="I64" s="5" t="str">
        <f t="shared" si="8"/>
        <v>"Almagro Ciudad Real" turismo</v>
      </c>
      <c r="J64" s="5" t="str">
        <f t="shared" si="9"/>
        <v>"Almagro Ciudad Real" opiniones viaje</v>
      </c>
      <c r="K64" s="5" t="str">
        <f t="shared" si="10"/>
        <v>"Almagro Spain" travel review</v>
      </c>
      <c r="L64" s="5" t="str">
        <f t="shared" si="11"/>
        <v>"Almagro Spain" things to do</v>
      </c>
      <c r="M64" s="2" t="s">
        <v>26</v>
      </c>
      <c r="N64" s="2" t="s">
        <v>27</v>
      </c>
      <c r="O64" s="6">
        <v>44927</v>
      </c>
      <c r="P64" s="2">
        <v>25</v>
      </c>
      <c r="Q64" s="2" t="s">
        <v>28</v>
      </c>
      <c r="R64" s="2">
        <v>0</v>
      </c>
      <c r="S64" s="2">
        <v>1</v>
      </c>
      <c r="T64" s="2">
        <v>30</v>
      </c>
      <c r="U64" s="7" t="s">
        <v>29</v>
      </c>
      <c r="V64" s="7" t="s">
        <v>30</v>
      </c>
      <c r="W64" s="8"/>
    </row>
    <row r="65" spans="1:23" ht="42.75" x14ac:dyDescent="0.45">
      <c r="A65" s="2">
        <v>64</v>
      </c>
      <c r="B65" s="3" t="str">
        <f t="shared" si="6"/>
        <v>ES-064</v>
      </c>
      <c r="C65" s="2" t="s">
        <v>124</v>
      </c>
      <c r="D65" s="2" t="s">
        <v>124</v>
      </c>
      <c r="E65" s="2" t="s">
        <v>125</v>
      </c>
      <c r="F65" s="4" t="s">
        <v>25</v>
      </c>
      <c r="G65" s="2">
        <v>1</v>
      </c>
      <c r="H65" s="3">
        <f t="shared" si="7"/>
        <v>4</v>
      </c>
      <c r="I65" s="5" t="str">
        <f t="shared" si="8"/>
        <v>"Barcelona" turismo</v>
      </c>
      <c r="J65" s="5" t="str">
        <f t="shared" si="9"/>
        <v>"Barcelona" opiniones viaje</v>
      </c>
      <c r="K65" s="5" t="str">
        <f t="shared" si="10"/>
        <v>"Barcelona Spain" travel review</v>
      </c>
      <c r="L65" s="5" t="str">
        <f t="shared" si="11"/>
        <v>"Barcelona Spain" things to do</v>
      </c>
      <c r="M65" s="2" t="s">
        <v>26</v>
      </c>
      <c r="N65" s="2" t="s">
        <v>27</v>
      </c>
      <c r="O65" s="6">
        <v>44927</v>
      </c>
      <c r="P65" s="2">
        <v>25</v>
      </c>
      <c r="Q65" s="2" t="s">
        <v>28</v>
      </c>
      <c r="R65" s="2">
        <v>0</v>
      </c>
      <c r="S65" s="2">
        <v>1</v>
      </c>
      <c r="T65" s="2">
        <v>30</v>
      </c>
      <c r="U65" s="7" t="s">
        <v>29</v>
      </c>
      <c r="V65" s="7" t="s">
        <v>30</v>
      </c>
      <c r="W65" s="8"/>
    </row>
    <row r="66" spans="1:23" ht="42.75" x14ac:dyDescent="0.45">
      <c r="A66" s="2">
        <v>65</v>
      </c>
      <c r="B66" s="3" t="str">
        <f t="shared" ref="B66:B97" si="12">"ES-"&amp;TEXT(A66,"000")</f>
        <v>ES-065</v>
      </c>
      <c r="C66" s="2" t="s">
        <v>126</v>
      </c>
      <c r="D66" s="2" t="s">
        <v>126</v>
      </c>
      <c r="E66" s="2" t="s">
        <v>125</v>
      </c>
      <c r="F66" s="4" t="s">
        <v>127</v>
      </c>
      <c r="G66" s="2">
        <v>1</v>
      </c>
      <c r="H66" s="3">
        <f t="shared" ref="H66:H97" si="13">MOD(A66-1,10)+1</f>
        <v>5</v>
      </c>
      <c r="I66" s="5" t="str">
        <f t="shared" ref="I66:I97" si="14">CHAR(34)&amp;C66&amp;IF(C66=D66,""," "&amp;D66)&amp;CHAR(34)&amp;" turismo"</f>
        <v>"Girona" turismo</v>
      </c>
      <c r="J66" s="5" t="str">
        <f t="shared" ref="J66:J97" si="15">CHAR(34)&amp;C66&amp;IF(C66=D66,""," "&amp;D66)&amp;CHAR(34)&amp;" opiniones viaje"</f>
        <v>"Girona" opiniones viaje</v>
      </c>
      <c r="K66" s="5" t="str">
        <f t="shared" ref="K66:K97" si="16">CHAR(34)&amp;C66&amp;" Spain"&amp;CHAR(34)&amp;" travel review"</f>
        <v>"Girona Spain" travel review</v>
      </c>
      <c r="L66" s="5" t="str">
        <f t="shared" ref="L66:L97" si="17">CHAR(34)&amp;C66&amp;" Spain"&amp;CHAR(34)&amp;" things to do"</f>
        <v>"Girona Spain" things to do</v>
      </c>
      <c r="M66" s="2" t="s">
        <v>26</v>
      </c>
      <c r="N66" s="2" t="s">
        <v>27</v>
      </c>
      <c r="O66" s="6">
        <v>44927</v>
      </c>
      <c r="P66" s="2">
        <v>25</v>
      </c>
      <c r="Q66" s="2" t="s">
        <v>28</v>
      </c>
      <c r="R66" s="2">
        <v>0</v>
      </c>
      <c r="S66" s="2">
        <v>1</v>
      </c>
      <c r="T66" s="2">
        <v>30</v>
      </c>
      <c r="U66" s="7" t="s">
        <v>29</v>
      </c>
      <c r="V66" s="7" t="s">
        <v>30</v>
      </c>
      <c r="W66" s="8"/>
    </row>
    <row r="67" spans="1:23" ht="42.75" x14ac:dyDescent="0.45">
      <c r="A67" s="2">
        <v>66</v>
      </c>
      <c r="B67" s="3" t="str">
        <f t="shared" si="12"/>
        <v>ES-066</v>
      </c>
      <c r="C67" s="2" t="s">
        <v>128</v>
      </c>
      <c r="D67" s="2" t="s">
        <v>128</v>
      </c>
      <c r="E67" s="2" t="s">
        <v>125</v>
      </c>
      <c r="F67" s="4" t="s">
        <v>99</v>
      </c>
      <c r="G67" s="2">
        <v>1</v>
      </c>
      <c r="H67" s="3">
        <f t="shared" si="13"/>
        <v>6</v>
      </c>
      <c r="I67" s="5" t="str">
        <f t="shared" si="14"/>
        <v>"Tarragona" turismo</v>
      </c>
      <c r="J67" s="5" t="str">
        <f t="shared" si="15"/>
        <v>"Tarragona" opiniones viaje</v>
      </c>
      <c r="K67" s="5" t="str">
        <f t="shared" si="16"/>
        <v>"Tarragona Spain" travel review</v>
      </c>
      <c r="L67" s="5" t="str">
        <f t="shared" si="17"/>
        <v>"Tarragona Spain" things to do</v>
      </c>
      <c r="M67" s="2" t="s">
        <v>26</v>
      </c>
      <c r="N67" s="2" t="s">
        <v>27</v>
      </c>
      <c r="O67" s="6">
        <v>44927</v>
      </c>
      <c r="P67" s="2">
        <v>25</v>
      </c>
      <c r="Q67" s="2" t="s">
        <v>28</v>
      </c>
      <c r="R67" s="2">
        <v>0</v>
      </c>
      <c r="S67" s="2">
        <v>1</v>
      </c>
      <c r="T67" s="2">
        <v>30</v>
      </c>
      <c r="U67" s="7" t="s">
        <v>29</v>
      </c>
      <c r="V67" s="7" t="s">
        <v>30</v>
      </c>
      <c r="W67" s="8"/>
    </row>
    <row r="68" spans="1:23" ht="42.75" x14ac:dyDescent="0.45">
      <c r="A68" s="2">
        <v>67</v>
      </c>
      <c r="B68" s="3" t="str">
        <f t="shared" si="12"/>
        <v>ES-067</v>
      </c>
      <c r="C68" s="2" t="s">
        <v>129</v>
      </c>
      <c r="D68" s="2" t="s">
        <v>129</v>
      </c>
      <c r="E68" s="2" t="s">
        <v>125</v>
      </c>
      <c r="F68" s="4" t="s">
        <v>130</v>
      </c>
      <c r="G68" s="2">
        <v>2</v>
      </c>
      <c r="H68" s="3">
        <f t="shared" si="13"/>
        <v>7</v>
      </c>
      <c r="I68" s="5" t="str">
        <f t="shared" si="14"/>
        <v>"Lleida" turismo</v>
      </c>
      <c r="J68" s="5" t="str">
        <f t="shared" si="15"/>
        <v>"Lleida" opiniones viaje</v>
      </c>
      <c r="K68" s="5" t="str">
        <f t="shared" si="16"/>
        <v>"Lleida Spain" travel review</v>
      </c>
      <c r="L68" s="5" t="str">
        <f t="shared" si="17"/>
        <v>"Lleida Spain" things to do</v>
      </c>
      <c r="M68" s="2" t="s">
        <v>26</v>
      </c>
      <c r="N68" s="2" t="s">
        <v>27</v>
      </c>
      <c r="O68" s="6">
        <v>44927</v>
      </c>
      <c r="P68" s="2">
        <v>25</v>
      </c>
      <c r="Q68" s="2" t="s">
        <v>28</v>
      </c>
      <c r="R68" s="2">
        <v>0</v>
      </c>
      <c r="S68" s="2">
        <v>1</v>
      </c>
      <c r="T68" s="2">
        <v>30</v>
      </c>
      <c r="U68" s="7" t="s">
        <v>29</v>
      </c>
      <c r="V68" s="7" t="s">
        <v>30</v>
      </c>
      <c r="W68" s="8"/>
    </row>
    <row r="69" spans="1:23" ht="42.75" x14ac:dyDescent="0.45">
      <c r="A69" s="2">
        <v>68</v>
      </c>
      <c r="B69" s="3" t="str">
        <f t="shared" si="12"/>
        <v>ES-068</v>
      </c>
      <c r="C69" s="2" t="s">
        <v>131</v>
      </c>
      <c r="D69" s="2" t="s">
        <v>124</v>
      </c>
      <c r="E69" s="2" t="s">
        <v>125</v>
      </c>
      <c r="F69" s="4" t="s">
        <v>80</v>
      </c>
      <c r="G69" s="2">
        <v>1</v>
      </c>
      <c r="H69" s="3">
        <f t="shared" si="13"/>
        <v>8</v>
      </c>
      <c r="I69" s="5" t="str">
        <f t="shared" si="14"/>
        <v>"Sitges Barcelona" turismo</v>
      </c>
      <c r="J69" s="5" t="str">
        <f t="shared" si="15"/>
        <v>"Sitges Barcelona" opiniones viaje</v>
      </c>
      <c r="K69" s="5" t="str">
        <f t="shared" si="16"/>
        <v>"Sitges Spain" travel review</v>
      </c>
      <c r="L69" s="5" t="str">
        <f t="shared" si="17"/>
        <v>"Sitges Spain" things to do</v>
      </c>
      <c r="M69" s="2" t="s">
        <v>26</v>
      </c>
      <c r="N69" s="2" t="s">
        <v>27</v>
      </c>
      <c r="O69" s="6">
        <v>44927</v>
      </c>
      <c r="P69" s="2">
        <v>25</v>
      </c>
      <c r="Q69" s="2" t="s">
        <v>28</v>
      </c>
      <c r="R69" s="2">
        <v>0</v>
      </c>
      <c r="S69" s="2">
        <v>1</v>
      </c>
      <c r="T69" s="2">
        <v>30</v>
      </c>
      <c r="U69" s="7" t="s">
        <v>29</v>
      </c>
      <c r="V69" s="7" t="s">
        <v>30</v>
      </c>
      <c r="W69" s="8"/>
    </row>
    <row r="70" spans="1:23" ht="42.75" x14ac:dyDescent="0.45">
      <c r="A70" s="2">
        <v>69</v>
      </c>
      <c r="B70" s="3" t="str">
        <f t="shared" si="12"/>
        <v>ES-069</v>
      </c>
      <c r="C70" s="2" t="s">
        <v>132</v>
      </c>
      <c r="D70" s="2" t="s">
        <v>126</v>
      </c>
      <c r="E70" s="2" t="s">
        <v>125</v>
      </c>
      <c r="F70" s="4" t="s">
        <v>133</v>
      </c>
      <c r="G70" s="2">
        <v>2</v>
      </c>
      <c r="H70" s="3">
        <f t="shared" si="13"/>
        <v>9</v>
      </c>
      <c r="I70" s="5" t="str">
        <f t="shared" si="14"/>
        <v>"Figueres Girona" turismo</v>
      </c>
      <c r="J70" s="5" t="str">
        <f t="shared" si="15"/>
        <v>"Figueres Girona" opiniones viaje</v>
      </c>
      <c r="K70" s="5" t="str">
        <f t="shared" si="16"/>
        <v>"Figueres Spain" travel review</v>
      </c>
      <c r="L70" s="5" t="str">
        <f t="shared" si="17"/>
        <v>"Figueres Spain" things to do</v>
      </c>
      <c r="M70" s="2" t="s">
        <v>26</v>
      </c>
      <c r="N70" s="2" t="s">
        <v>27</v>
      </c>
      <c r="O70" s="6">
        <v>44927</v>
      </c>
      <c r="P70" s="2">
        <v>25</v>
      </c>
      <c r="Q70" s="2" t="s">
        <v>28</v>
      </c>
      <c r="R70" s="2">
        <v>0</v>
      </c>
      <c r="S70" s="2">
        <v>1</v>
      </c>
      <c r="T70" s="2">
        <v>30</v>
      </c>
      <c r="U70" s="7" t="s">
        <v>29</v>
      </c>
      <c r="V70" s="7" t="s">
        <v>30</v>
      </c>
      <c r="W70" s="8"/>
    </row>
    <row r="71" spans="1:23" ht="42.75" x14ac:dyDescent="0.45">
      <c r="A71" s="2">
        <v>70</v>
      </c>
      <c r="B71" s="3" t="str">
        <f t="shared" si="12"/>
        <v>ES-070</v>
      </c>
      <c r="C71" s="2" t="s">
        <v>134</v>
      </c>
      <c r="D71" s="2" t="s">
        <v>126</v>
      </c>
      <c r="E71" s="2" t="s">
        <v>125</v>
      </c>
      <c r="F71" s="4" t="s">
        <v>80</v>
      </c>
      <c r="G71" s="2">
        <v>1</v>
      </c>
      <c r="H71" s="3">
        <f t="shared" si="13"/>
        <v>10</v>
      </c>
      <c r="I71" s="5" t="str">
        <f t="shared" si="14"/>
        <v>"Lloret de Mar Girona" turismo</v>
      </c>
      <c r="J71" s="5" t="str">
        <f t="shared" si="15"/>
        <v>"Lloret de Mar Girona" opiniones viaje</v>
      </c>
      <c r="K71" s="5" t="str">
        <f t="shared" si="16"/>
        <v>"Lloret de Mar Spain" travel review</v>
      </c>
      <c r="L71" s="5" t="str">
        <f t="shared" si="17"/>
        <v>"Lloret de Mar Spain" things to do</v>
      </c>
      <c r="M71" s="2" t="s">
        <v>26</v>
      </c>
      <c r="N71" s="2" t="s">
        <v>27</v>
      </c>
      <c r="O71" s="6">
        <v>44927</v>
      </c>
      <c r="P71" s="2">
        <v>25</v>
      </c>
      <c r="Q71" s="2" t="s">
        <v>28</v>
      </c>
      <c r="R71" s="2">
        <v>0</v>
      </c>
      <c r="S71" s="2">
        <v>1</v>
      </c>
      <c r="T71" s="2">
        <v>30</v>
      </c>
      <c r="U71" s="7" t="s">
        <v>29</v>
      </c>
      <c r="V71" s="7" t="s">
        <v>30</v>
      </c>
      <c r="W71" s="8"/>
    </row>
    <row r="72" spans="1:23" ht="42.75" x14ac:dyDescent="0.45">
      <c r="A72" s="2">
        <v>71</v>
      </c>
      <c r="B72" s="3" t="str">
        <f t="shared" si="12"/>
        <v>ES-071</v>
      </c>
      <c r="C72" s="2" t="s">
        <v>135</v>
      </c>
      <c r="D72" s="2" t="s">
        <v>126</v>
      </c>
      <c r="E72" s="2" t="s">
        <v>125</v>
      </c>
      <c r="F72" s="4" t="s">
        <v>41</v>
      </c>
      <c r="G72" s="2">
        <v>2</v>
      </c>
      <c r="H72" s="3">
        <f t="shared" si="13"/>
        <v>1</v>
      </c>
      <c r="I72" s="5" t="str">
        <f t="shared" si="14"/>
        <v>"Cadaqués Girona" turismo</v>
      </c>
      <c r="J72" s="5" t="str">
        <f t="shared" si="15"/>
        <v>"Cadaqués Girona" opiniones viaje</v>
      </c>
      <c r="K72" s="5" t="str">
        <f t="shared" si="16"/>
        <v>"Cadaqués Spain" travel review</v>
      </c>
      <c r="L72" s="5" t="str">
        <f t="shared" si="17"/>
        <v>"Cadaqués Spain" things to do</v>
      </c>
      <c r="M72" s="2" t="s">
        <v>26</v>
      </c>
      <c r="N72" s="2" t="s">
        <v>27</v>
      </c>
      <c r="O72" s="6">
        <v>44927</v>
      </c>
      <c r="P72" s="2">
        <v>25</v>
      </c>
      <c r="Q72" s="2" t="s">
        <v>28</v>
      </c>
      <c r="R72" s="2">
        <v>0</v>
      </c>
      <c r="S72" s="2">
        <v>1</v>
      </c>
      <c r="T72" s="2">
        <v>30</v>
      </c>
      <c r="U72" s="7" t="s">
        <v>29</v>
      </c>
      <c r="V72" s="7" t="s">
        <v>30</v>
      </c>
      <c r="W72" s="8"/>
    </row>
    <row r="73" spans="1:23" ht="42.75" x14ac:dyDescent="0.45">
      <c r="A73" s="2">
        <v>72</v>
      </c>
      <c r="B73" s="3" t="str">
        <f t="shared" si="12"/>
        <v>ES-072</v>
      </c>
      <c r="C73" s="2" t="s">
        <v>136</v>
      </c>
      <c r="D73" s="2" t="s">
        <v>128</v>
      </c>
      <c r="E73" s="2" t="s">
        <v>125</v>
      </c>
      <c r="F73" s="4" t="s">
        <v>80</v>
      </c>
      <c r="G73" s="2">
        <v>1</v>
      </c>
      <c r="H73" s="3">
        <f t="shared" si="13"/>
        <v>2</v>
      </c>
      <c r="I73" s="5" t="str">
        <f t="shared" si="14"/>
        <v>"Salou Tarragona" turismo</v>
      </c>
      <c r="J73" s="5" t="str">
        <f t="shared" si="15"/>
        <v>"Salou Tarragona" opiniones viaje</v>
      </c>
      <c r="K73" s="5" t="str">
        <f t="shared" si="16"/>
        <v>"Salou Spain" travel review</v>
      </c>
      <c r="L73" s="5" t="str">
        <f t="shared" si="17"/>
        <v>"Salou Spain" things to do</v>
      </c>
      <c r="M73" s="2" t="s">
        <v>26</v>
      </c>
      <c r="N73" s="2" t="s">
        <v>27</v>
      </c>
      <c r="O73" s="6">
        <v>44927</v>
      </c>
      <c r="P73" s="2">
        <v>25</v>
      </c>
      <c r="Q73" s="2" t="s">
        <v>28</v>
      </c>
      <c r="R73" s="2">
        <v>0</v>
      </c>
      <c r="S73" s="2">
        <v>1</v>
      </c>
      <c r="T73" s="2">
        <v>30</v>
      </c>
      <c r="U73" s="7" t="s">
        <v>29</v>
      </c>
      <c r="V73" s="7" t="s">
        <v>30</v>
      </c>
      <c r="W73" s="8"/>
    </row>
    <row r="74" spans="1:23" ht="42.75" x14ac:dyDescent="0.45">
      <c r="A74" s="2">
        <v>73</v>
      </c>
      <c r="B74" s="3" t="str">
        <f t="shared" si="12"/>
        <v>ES-073</v>
      </c>
      <c r="C74" s="2" t="s">
        <v>137</v>
      </c>
      <c r="D74" s="2" t="s">
        <v>124</v>
      </c>
      <c r="E74" s="2" t="s">
        <v>125</v>
      </c>
      <c r="F74" s="4" t="s">
        <v>127</v>
      </c>
      <c r="G74" s="2">
        <v>2</v>
      </c>
      <c r="H74" s="3">
        <f t="shared" si="13"/>
        <v>3</v>
      </c>
      <c r="I74" s="5" t="str">
        <f t="shared" si="14"/>
        <v>"Vic Barcelona" turismo</v>
      </c>
      <c r="J74" s="5" t="str">
        <f t="shared" si="15"/>
        <v>"Vic Barcelona" opiniones viaje</v>
      </c>
      <c r="K74" s="5" t="str">
        <f t="shared" si="16"/>
        <v>"Vic Spain" travel review</v>
      </c>
      <c r="L74" s="5" t="str">
        <f t="shared" si="17"/>
        <v>"Vic Spain" things to do</v>
      </c>
      <c r="M74" s="2" t="s">
        <v>26</v>
      </c>
      <c r="N74" s="2" t="s">
        <v>27</v>
      </c>
      <c r="O74" s="6">
        <v>44927</v>
      </c>
      <c r="P74" s="2">
        <v>25</v>
      </c>
      <c r="Q74" s="2" t="s">
        <v>28</v>
      </c>
      <c r="R74" s="2">
        <v>0</v>
      </c>
      <c r="S74" s="2">
        <v>1</v>
      </c>
      <c r="T74" s="2">
        <v>30</v>
      </c>
      <c r="U74" s="7" t="s">
        <v>29</v>
      </c>
      <c r="V74" s="7" t="s">
        <v>30</v>
      </c>
      <c r="W74" s="8"/>
    </row>
    <row r="75" spans="1:23" ht="42.75" x14ac:dyDescent="0.45">
      <c r="A75" s="2">
        <v>74</v>
      </c>
      <c r="B75" s="3" t="str">
        <f t="shared" si="12"/>
        <v>ES-074</v>
      </c>
      <c r="C75" s="2" t="s">
        <v>138</v>
      </c>
      <c r="D75" s="2" t="s">
        <v>139</v>
      </c>
      <c r="E75" s="2" t="s">
        <v>140</v>
      </c>
      <c r="F75" s="4" t="s">
        <v>74</v>
      </c>
      <c r="G75" s="2">
        <v>1</v>
      </c>
      <c r="H75" s="3">
        <f t="shared" si="13"/>
        <v>4</v>
      </c>
      <c r="I75" s="5" t="str">
        <f t="shared" si="14"/>
        <v>"València Valencia/València" turismo</v>
      </c>
      <c r="J75" s="5" t="str">
        <f t="shared" si="15"/>
        <v>"València Valencia/València" opiniones viaje</v>
      </c>
      <c r="K75" s="5" t="str">
        <f t="shared" si="16"/>
        <v>"València Spain" travel review</v>
      </c>
      <c r="L75" s="5" t="str">
        <f t="shared" si="17"/>
        <v>"València Spain" things to do</v>
      </c>
      <c r="M75" s="2" t="s">
        <v>26</v>
      </c>
      <c r="N75" s="2" t="s">
        <v>27</v>
      </c>
      <c r="O75" s="6">
        <v>44927</v>
      </c>
      <c r="P75" s="2">
        <v>25</v>
      </c>
      <c r="Q75" s="2" t="s">
        <v>28</v>
      </c>
      <c r="R75" s="2">
        <v>0</v>
      </c>
      <c r="S75" s="2">
        <v>1</v>
      </c>
      <c r="T75" s="2">
        <v>30</v>
      </c>
      <c r="U75" s="7" t="s">
        <v>29</v>
      </c>
      <c r="V75" s="7" t="s">
        <v>30</v>
      </c>
      <c r="W75" s="8"/>
    </row>
    <row r="76" spans="1:23" ht="42.75" x14ac:dyDescent="0.45">
      <c r="A76" s="2">
        <v>75</v>
      </c>
      <c r="B76" s="3" t="str">
        <f t="shared" si="12"/>
        <v>ES-075</v>
      </c>
      <c r="C76" s="2" t="s">
        <v>141</v>
      </c>
      <c r="D76" s="2" t="s">
        <v>141</v>
      </c>
      <c r="E76" s="2" t="s">
        <v>140</v>
      </c>
      <c r="F76" s="4" t="s">
        <v>74</v>
      </c>
      <c r="G76" s="2">
        <v>1</v>
      </c>
      <c r="H76" s="3">
        <f t="shared" si="13"/>
        <v>5</v>
      </c>
      <c r="I76" s="5" t="str">
        <f t="shared" si="14"/>
        <v>"Alicante/Alacant" turismo</v>
      </c>
      <c r="J76" s="5" t="str">
        <f t="shared" si="15"/>
        <v>"Alicante/Alacant" opiniones viaje</v>
      </c>
      <c r="K76" s="5" t="str">
        <f t="shared" si="16"/>
        <v>"Alicante/Alacant Spain" travel review</v>
      </c>
      <c r="L76" s="5" t="str">
        <f t="shared" si="17"/>
        <v>"Alicante/Alacant Spain" things to do</v>
      </c>
      <c r="M76" s="2" t="s">
        <v>26</v>
      </c>
      <c r="N76" s="2" t="s">
        <v>27</v>
      </c>
      <c r="O76" s="6">
        <v>44927</v>
      </c>
      <c r="P76" s="2">
        <v>25</v>
      </c>
      <c r="Q76" s="2" t="s">
        <v>28</v>
      </c>
      <c r="R76" s="2">
        <v>0</v>
      </c>
      <c r="S76" s="2">
        <v>1</v>
      </c>
      <c r="T76" s="2">
        <v>30</v>
      </c>
      <c r="U76" s="7" t="s">
        <v>29</v>
      </c>
      <c r="V76" s="7" t="s">
        <v>30</v>
      </c>
      <c r="W76" s="8"/>
    </row>
    <row r="77" spans="1:23" ht="42.75" x14ac:dyDescent="0.45">
      <c r="A77" s="2">
        <v>76</v>
      </c>
      <c r="B77" s="3" t="str">
        <f t="shared" si="12"/>
        <v>ES-076</v>
      </c>
      <c r="C77" s="2" t="s">
        <v>142</v>
      </c>
      <c r="D77" s="2" t="s">
        <v>141</v>
      </c>
      <c r="E77" s="2" t="s">
        <v>140</v>
      </c>
      <c r="F77" s="4" t="s">
        <v>80</v>
      </c>
      <c r="G77" s="2">
        <v>1</v>
      </c>
      <c r="H77" s="3">
        <f t="shared" si="13"/>
        <v>6</v>
      </c>
      <c r="I77" s="5" t="str">
        <f t="shared" si="14"/>
        <v>"Benidorm Alicante/Alacant" turismo</v>
      </c>
      <c r="J77" s="5" t="str">
        <f t="shared" si="15"/>
        <v>"Benidorm Alicante/Alacant" opiniones viaje</v>
      </c>
      <c r="K77" s="5" t="str">
        <f t="shared" si="16"/>
        <v>"Benidorm Spain" travel review</v>
      </c>
      <c r="L77" s="5" t="str">
        <f t="shared" si="17"/>
        <v>"Benidorm Spain" things to do</v>
      </c>
      <c r="M77" s="2" t="s">
        <v>26</v>
      </c>
      <c r="N77" s="2" t="s">
        <v>27</v>
      </c>
      <c r="O77" s="6">
        <v>44927</v>
      </c>
      <c r="P77" s="2">
        <v>25</v>
      </c>
      <c r="Q77" s="2" t="s">
        <v>28</v>
      </c>
      <c r="R77" s="2">
        <v>0</v>
      </c>
      <c r="S77" s="2">
        <v>1</v>
      </c>
      <c r="T77" s="2">
        <v>30</v>
      </c>
      <c r="U77" s="7" t="s">
        <v>29</v>
      </c>
      <c r="V77" s="7" t="s">
        <v>30</v>
      </c>
      <c r="W77" s="8"/>
    </row>
    <row r="78" spans="1:23" ht="42.75" x14ac:dyDescent="0.45">
      <c r="A78" s="2">
        <v>77</v>
      </c>
      <c r="B78" s="3" t="str">
        <f t="shared" si="12"/>
        <v>ES-077</v>
      </c>
      <c r="C78" s="2" t="s">
        <v>143</v>
      </c>
      <c r="D78" s="2" t="s">
        <v>144</v>
      </c>
      <c r="E78" s="2" t="s">
        <v>140</v>
      </c>
      <c r="F78" s="4" t="s">
        <v>74</v>
      </c>
      <c r="G78" s="2">
        <v>2</v>
      </c>
      <c r="H78" s="3">
        <f t="shared" si="13"/>
        <v>7</v>
      </c>
      <c r="I78" s="5" t="str">
        <f t="shared" si="14"/>
        <v>"Castelló de la Plana Castellón/Castelló" turismo</v>
      </c>
      <c r="J78" s="5" t="str">
        <f t="shared" si="15"/>
        <v>"Castelló de la Plana Castellón/Castelló" opiniones viaje</v>
      </c>
      <c r="K78" s="5" t="str">
        <f t="shared" si="16"/>
        <v>"Castelló de la Plana Spain" travel review</v>
      </c>
      <c r="L78" s="5" t="str">
        <f t="shared" si="17"/>
        <v>"Castelló de la Plana Spain" things to do</v>
      </c>
      <c r="M78" s="2" t="s">
        <v>26</v>
      </c>
      <c r="N78" s="2" t="s">
        <v>27</v>
      </c>
      <c r="O78" s="6">
        <v>44927</v>
      </c>
      <c r="P78" s="2">
        <v>25</v>
      </c>
      <c r="Q78" s="2" t="s">
        <v>28</v>
      </c>
      <c r="R78" s="2">
        <v>0</v>
      </c>
      <c r="S78" s="2">
        <v>1</v>
      </c>
      <c r="T78" s="2">
        <v>30</v>
      </c>
      <c r="U78" s="7" t="s">
        <v>29</v>
      </c>
      <c r="V78" s="7" t="s">
        <v>30</v>
      </c>
      <c r="W78" s="8"/>
    </row>
    <row r="79" spans="1:23" ht="42.75" x14ac:dyDescent="0.45">
      <c r="A79" s="2">
        <v>78</v>
      </c>
      <c r="B79" s="3" t="str">
        <f t="shared" si="12"/>
        <v>ES-078</v>
      </c>
      <c r="C79" s="2" t="s">
        <v>145</v>
      </c>
      <c r="D79" s="2" t="s">
        <v>144</v>
      </c>
      <c r="E79" s="2" t="s">
        <v>140</v>
      </c>
      <c r="F79" s="4" t="s">
        <v>41</v>
      </c>
      <c r="G79" s="2">
        <v>1</v>
      </c>
      <c r="H79" s="3">
        <f t="shared" si="13"/>
        <v>8</v>
      </c>
      <c r="I79" s="5" t="str">
        <f t="shared" si="14"/>
        <v>"Peñíscola Castellón/Castelló" turismo</v>
      </c>
      <c r="J79" s="5" t="str">
        <f t="shared" si="15"/>
        <v>"Peñíscola Castellón/Castelló" opiniones viaje</v>
      </c>
      <c r="K79" s="5" t="str">
        <f t="shared" si="16"/>
        <v>"Peñíscola Spain" travel review</v>
      </c>
      <c r="L79" s="5" t="str">
        <f t="shared" si="17"/>
        <v>"Peñíscola Spain" things to do</v>
      </c>
      <c r="M79" s="2" t="s">
        <v>26</v>
      </c>
      <c r="N79" s="2" t="s">
        <v>27</v>
      </c>
      <c r="O79" s="6">
        <v>44927</v>
      </c>
      <c r="P79" s="2">
        <v>25</v>
      </c>
      <c r="Q79" s="2" t="s">
        <v>28</v>
      </c>
      <c r="R79" s="2">
        <v>0</v>
      </c>
      <c r="S79" s="2">
        <v>1</v>
      </c>
      <c r="T79" s="2">
        <v>30</v>
      </c>
      <c r="U79" s="7" t="s">
        <v>29</v>
      </c>
      <c r="V79" s="7" t="s">
        <v>30</v>
      </c>
      <c r="W79" s="8"/>
    </row>
    <row r="80" spans="1:23" ht="42.75" x14ac:dyDescent="0.45">
      <c r="A80" s="2">
        <v>79</v>
      </c>
      <c r="B80" s="3" t="str">
        <f t="shared" si="12"/>
        <v>ES-079</v>
      </c>
      <c r="C80" s="2" t="s">
        <v>146</v>
      </c>
      <c r="D80" s="2" t="s">
        <v>139</v>
      </c>
      <c r="E80" s="2" t="s">
        <v>140</v>
      </c>
      <c r="F80" s="4" t="s">
        <v>41</v>
      </c>
      <c r="G80" s="2">
        <v>2</v>
      </c>
      <c r="H80" s="3">
        <f t="shared" si="13"/>
        <v>9</v>
      </c>
      <c r="I80" s="5" t="str">
        <f t="shared" si="14"/>
        <v>"Gandia Valencia/València" turismo</v>
      </c>
      <c r="J80" s="5" t="str">
        <f t="shared" si="15"/>
        <v>"Gandia Valencia/València" opiniones viaje</v>
      </c>
      <c r="K80" s="5" t="str">
        <f t="shared" si="16"/>
        <v>"Gandia Spain" travel review</v>
      </c>
      <c r="L80" s="5" t="str">
        <f t="shared" si="17"/>
        <v>"Gandia Spain" things to do</v>
      </c>
      <c r="M80" s="2" t="s">
        <v>26</v>
      </c>
      <c r="N80" s="2" t="s">
        <v>27</v>
      </c>
      <c r="O80" s="6">
        <v>44927</v>
      </c>
      <c r="P80" s="2">
        <v>25</v>
      </c>
      <c r="Q80" s="2" t="s">
        <v>28</v>
      </c>
      <c r="R80" s="2">
        <v>0</v>
      </c>
      <c r="S80" s="2">
        <v>1</v>
      </c>
      <c r="T80" s="2">
        <v>30</v>
      </c>
      <c r="U80" s="7" t="s">
        <v>29</v>
      </c>
      <c r="V80" s="7" t="s">
        <v>30</v>
      </c>
      <c r="W80" s="8"/>
    </row>
    <row r="81" spans="1:23" ht="42.75" x14ac:dyDescent="0.45">
      <c r="A81" s="2">
        <v>80</v>
      </c>
      <c r="B81" s="3" t="str">
        <f t="shared" si="12"/>
        <v>ES-080</v>
      </c>
      <c r="C81" s="2" t="s">
        <v>147</v>
      </c>
      <c r="D81" s="2" t="s">
        <v>141</v>
      </c>
      <c r="E81" s="2" t="s">
        <v>140</v>
      </c>
      <c r="F81" s="4" t="s">
        <v>148</v>
      </c>
      <c r="G81" s="2">
        <v>1</v>
      </c>
      <c r="H81" s="3">
        <f t="shared" si="13"/>
        <v>10</v>
      </c>
      <c r="I81" s="5" t="str">
        <f t="shared" si="14"/>
        <v>"Dénia Alicante/Alacant" turismo</v>
      </c>
      <c r="J81" s="5" t="str">
        <f t="shared" si="15"/>
        <v>"Dénia Alicante/Alacant" opiniones viaje</v>
      </c>
      <c r="K81" s="5" t="str">
        <f t="shared" si="16"/>
        <v>"Dénia Spain" travel review</v>
      </c>
      <c r="L81" s="5" t="str">
        <f t="shared" si="17"/>
        <v>"Dénia Spain" things to do</v>
      </c>
      <c r="M81" s="2" t="s">
        <v>26</v>
      </c>
      <c r="N81" s="2" t="s">
        <v>27</v>
      </c>
      <c r="O81" s="6">
        <v>44927</v>
      </c>
      <c r="P81" s="2">
        <v>25</v>
      </c>
      <c r="Q81" s="2" t="s">
        <v>28</v>
      </c>
      <c r="R81" s="2">
        <v>0</v>
      </c>
      <c r="S81" s="2">
        <v>1</v>
      </c>
      <c r="T81" s="2">
        <v>30</v>
      </c>
      <c r="U81" s="7" t="s">
        <v>29</v>
      </c>
      <c r="V81" s="7" t="s">
        <v>30</v>
      </c>
      <c r="W81" s="8"/>
    </row>
    <row r="82" spans="1:23" ht="42.75" x14ac:dyDescent="0.45">
      <c r="A82" s="2">
        <v>81</v>
      </c>
      <c r="B82" s="3" t="str">
        <f t="shared" si="12"/>
        <v>ES-081</v>
      </c>
      <c r="C82" s="2" t="s">
        <v>149</v>
      </c>
      <c r="D82" s="2" t="s">
        <v>141</v>
      </c>
      <c r="E82" s="2" t="s">
        <v>140</v>
      </c>
      <c r="F82" s="4" t="s">
        <v>41</v>
      </c>
      <c r="G82" s="2">
        <v>2</v>
      </c>
      <c r="H82" s="3">
        <f t="shared" si="13"/>
        <v>1</v>
      </c>
      <c r="I82" s="5" t="str">
        <f t="shared" si="14"/>
        <v>"Altea Alicante/Alacant" turismo</v>
      </c>
      <c r="J82" s="5" t="str">
        <f t="shared" si="15"/>
        <v>"Altea Alicante/Alacant" opiniones viaje</v>
      </c>
      <c r="K82" s="5" t="str">
        <f t="shared" si="16"/>
        <v>"Altea Spain" travel review</v>
      </c>
      <c r="L82" s="5" t="str">
        <f t="shared" si="17"/>
        <v>"Altea Spain" things to do</v>
      </c>
      <c r="M82" s="2" t="s">
        <v>26</v>
      </c>
      <c r="N82" s="2" t="s">
        <v>27</v>
      </c>
      <c r="O82" s="6">
        <v>44927</v>
      </c>
      <c r="P82" s="2">
        <v>25</v>
      </c>
      <c r="Q82" s="2" t="s">
        <v>28</v>
      </c>
      <c r="R82" s="2">
        <v>0</v>
      </c>
      <c r="S82" s="2">
        <v>1</v>
      </c>
      <c r="T82" s="2">
        <v>30</v>
      </c>
      <c r="U82" s="7" t="s">
        <v>29</v>
      </c>
      <c r="V82" s="7" t="s">
        <v>30</v>
      </c>
      <c r="W82" s="8"/>
    </row>
    <row r="83" spans="1:23" ht="42.75" x14ac:dyDescent="0.45">
      <c r="A83" s="2">
        <v>82</v>
      </c>
      <c r="B83" s="3" t="str">
        <f t="shared" si="12"/>
        <v>ES-082</v>
      </c>
      <c r="C83" s="2" t="s">
        <v>150</v>
      </c>
      <c r="D83" s="2" t="s">
        <v>150</v>
      </c>
      <c r="E83" s="2" t="s">
        <v>151</v>
      </c>
      <c r="F83" s="4" t="s">
        <v>32</v>
      </c>
      <c r="G83" s="2">
        <v>1</v>
      </c>
      <c r="H83" s="3">
        <f t="shared" si="13"/>
        <v>2</v>
      </c>
      <c r="I83" s="5" t="str">
        <f t="shared" si="14"/>
        <v>"Cáceres" turismo</v>
      </c>
      <c r="J83" s="5" t="str">
        <f t="shared" si="15"/>
        <v>"Cáceres" opiniones viaje</v>
      </c>
      <c r="K83" s="5" t="str">
        <f t="shared" si="16"/>
        <v>"Cáceres Spain" travel review</v>
      </c>
      <c r="L83" s="5" t="str">
        <f t="shared" si="17"/>
        <v>"Cáceres Spain" things to do</v>
      </c>
      <c r="M83" s="2" t="s">
        <v>26</v>
      </c>
      <c r="N83" s="2" t="s">
        <v>27</v>
      </c>
      <c r="O83" s="6">
        <v>44927</v>
      </c>
      <c r="P83" s="2">
        <v>25</v>
      </c>
      <c r="Q83" s="2" t="s">
        <v>28</v>
      </c>
      <c r="R83" s="2">
        <v>0</v>
      </c>
      <c r="S83" s="2">
        <v>1</v>
      </c>
      <c r="T83" s="2">
        <v>30</v>
      </c>
      <c r="U83" s="7" t="s">
        <v>29</v>
      </c>
      <c r="V83" s="7" t="s">
        <v>30</v>
      </c>
      <c r="W83" s="8"/>
    </row>
    <row r="84" spans="1:23" ht="42.75" x14ac:dyDescent="0.45">
      <c r="A84" s="2">
        <v>83</v>
      </c>
      <c r="B84" s="3" t="str">
        <f t="shared" si="12"/>
        <v>ES-083</v>
      </c>
      <c r="C84" s="2" t="s">
        <v>152</v>
      </c>
      <c r="D84" s="2" t="s">
        <v>153</v>
      </c>
      <c r="E84" s="2" t="s">
        <v>151</v>
      </c>
      <c r="F84" s="4" t="s">
        <v>32</v>
      </c>
      <c r="G84" s="2">
        <v>1</v>
      </c>
      <c r="H84" s="3">
        <f t="shared" si="13"/>
        <v>3</v>
      </c>
      <c r="I84" s="5" t="str">
        <f t="shared" si="14"/>
        <v>"Mérida Badajoz" turismo</v>
      </c>
      <c r="J84" s="5" t="str">
        <f t="shared" si="15"/>
        <v>"Mérida Badajoz" opiniones viaje</v>
      </c>
      <c r="K84" s="5" t="str">
        <f t="shared" si="16"/>
        <v>"Mérida Spain" travel review</v>
      </c>
      <c r="L84" s="5" t="str">
        <f t="shared" si="17"/>
        <v>"Mérida Spain" things to do</v>
      </c>
      <c r="M84" s="2" t="s">
        <v>26</v>
      </c>
      <c r="N84" s="2" t="s">
        <v>27</v>
      </c>
      <c r="O84" s="6">
        <v>44927</v>
      </c>
      <c r="P84" s="2">
        <v>25</v>
      </c>
      <c r="Q84" s="2" t="s">
        <v>28</v>
      </c>
      <c r="R84" s="2">
        <v>0</v>
      </c>
      <c r="S84" s="2">
        <v>1</v>
      </c>
      <c r="T84" s="2">
        <v>30</v>
      </c>
      <c r="U84" s="7" t="s">
        <v>29</v>
      </c>
      <c r="V84" s="7" t="s">
        <v>30</v>
      </c>
      <c r="W84" s="8"/>
    </row>
    <row r="85" spans="1:23" ht="42.75" x14ac:dyDescent="0.45">
      <c r="A85" s="2">
        <v>84</v>
      </c>
      <c r="B85" s="3" t="str">
        <f t="shared" si="12"/>
        <v>ES-084</v>
      </c>
      <c r="C85" s="2" t="s">
        <v>153</v>
      </c>
      <c r="D85" s="2" t="s">
        <v>153</v>
      </c>
      <c r="E85" s="2" t="s">
        <v>151</v>
      </c>
      <c r="F85" s="4" t="s">
        <v>25</v>
      </c>
      <c r="G85" s="2">
        <v>2</v>
      </c>
      <c r="H85" s="3">
        <f t="shared" si="13"/>
        <v>4</v>
      </c>
      <c r="I85" s="5" t="str">
        <f t="shared" si="14"/>
        <v>"Badajoz" turismo</v>
      </c>
      <c r="J85" s="5" t="str">
        <f t="shared" si="15"/>
        <v>"Badajoz" opiniones viaje</v>
      </c>
      <c r="K85" s="5" t="str">
        <f t="shared" si="16"/>
        <v>"Badajoz Spain" travel review</v>
      </c>
      <c r="L85" s="5" t="str">
        <f t="shared" si="17"/>
        <v>"Badajoz Spain" things to do</v>
      </c>
      <c r="M85" s="2" t="s">
        <v>26</v>
      </c>
      <c r="N85" s="2" t="s">
        <v>27</v>
      </c>
      <c r="O85" s="6">
        <v>44927</v>
      </c>
      <c r="P85" s="2">
        <v>25</v>
      </c>
      <c r="Q85" s="2" t="s">
        <v>28</v>
      </c>
      <c r="R85" s="2">
        <v>0</v>
      </c>
      <c r="S85" s="2">
        <v>1</v>
      </c>
      <c r="T85" s="2">
        <v>30</v>
      </c>
      <c r="U85" s="7" t="s">
        <v>29</v>
      </c>
      <c r="V85" s="7" t="s">
        <v>30</v>
      </c>
      <c r="W85" s="8"/>
    </row>
    <row r="86" spans="1:23" ht="42.75" x14ac:dyDescent="0.45">
      <c r="A86" s="2">
        <v>85</v>
      </c>
      <c r="B86" s="3" t="str">
        <f t="shared" si="12"/>
        <v>ES-085</v>
      </c>
      <c r="C86" s="2" t="s">
        <v>154</v>
      </c>
      <c r="D86" s="2" t="s">
        <v>150</v>
      </c>
      <c r="E86" s="2" t="s">
        <v>151</v>
      </c>
      <c r="F86" s="4" t="s">
        <v>32</v>
      </c>
      <c r="G86" s="2">
        <v>1</v>
      </c>
      <c r="H86" s="3">
        <f t="shared" si="13"/>
        <v>5</v>
      </c>
      <c r="I86" s="5" t="str">
        <f t="shared" si="14"/>
        <v>"Trujillo Cáceres" turismo</v>
      </c>
      <c r="J86" s="5" t="str">
        <f t="shared" si="15"/>
        <v>"Trujillo Cáceres" opiniones viaje</v>
      </c>
      <c r="K86" s="5" t="str">
        <f t="shared" si="16"/>
        <v>"Trujillo Spain" travel review</v>
      </c>
      <c r="L86" s="5" t="str">
        <f t="shared" si="17"/>
        <v>"Trujillo Spain" things to do</v>
      </c>
      <c r="M86" s="2" t="s">
        <v>26</v>
      </c>
      <c r="N86" s="2" t="s">
        <v>27</v>
      </c>
      <c r="O86" s="6">
        <v>44927</v>
      </c>
      <c r="P86" s="2">
        <v>25</v>
      </c>
      <c r="Q86" s="2" t="s">
        <v>28</v>
      </c>
      <c r="R86" s="2">
        <v>0</v>
      </c>
      <c r="S86" s="2">
        <v>1</v>
      </c>
      <c r="T86" s="2">
        <v>30</v>
      </c>
      <c r="U86" s="7" t="s">
        <v>29</v>
      </c>
      <c r="V86" s="7" t="s">
        <v>30</v>
      </c>
      <c r="W86" s="8"/>
    </row>
    <row r="87" spans="1:23" ht="42.75" x14ac:dyDescent="0.45">
      <c r="A87" s="2">
        <v>86</v>
      </c>
      <c r="B87" s="3" t="str">
        <f t="shared" si="12"/>
        <v>ES-086</v>
      </c>
      <c r="C87" s="2" t="s">
        <v>155</v>
      </c>
      <c r="D87" s="2" t="s">
        <v>150</v>
      </c>
      <c r="E87" s="2" t="s">
        <v>151</v>
      </c>
      <c r="F87" s="4" t="s">
        <v>39</v>
      </c>
      <c r="G87" s="2">
        <v>2</v>
      </c>
      <c r="H87" s="3">
        <f t="shared" si="13"/>
        <v>6</v>
      </c>
      <c r="I87" s="5" t="str">
        <f t="shared" si="14"/>
        <v>"Plasencia Cáceres" turismo</v>
      </c>
      <c r="J87" s="5" t="str">
        <f t="shared" si="15"/>
        <v>"Plasencia Cáceres" opiniones viaje</v>
      </c>
      <c r="K87" s="5" t="str">
        <f t="shared" si="16"/>
        <v>"Plasencia Spain" travel review</v>
      </c>
      <c r="L87" s="5" t="str">
        <f t="shared" si="17"/>
        <v>"Plasencia Spain" things to do</v>
      </c>
      <c r="M87" s="2" t="s">
        <v>26</v>
      </c>
      <c r="N87" s="2" t="s">
        <v>27</v>
      </c>
      <c r="O87" s="6">
        <v>44927</v>
      </c>
      <c r="P87" s="2">
        <v>25</v>
      </c>
      <c r="Q87" s="2" t="s">
        <v>28</v>
      </c>
      <c r="R87" s="2">
        <v>0</v>
      </c>
      <c r="S87" s="2">
        <v>1</v>
      </c>
      <c r="T87" s="2">
        <v>30</v>
      </c>
      <c r="U87" s="7" t="s">
        <v>29</v>
      </c>
      <c r="V87" s="7" t="s">
        <v>30</v>
      </c>
      <c r="W87" s="8"/>
    </row>
    <row r="88" spans="1:23" ht="42.75" x14ac:dyDescent="0.45">
      <c r="A88" s="2">
        <v>87</v>
      </c>
      <c r="B88" s="3" t="str">
        <f t="shared" si="12"/>
        <v>ES-087</v>
      </c>
      <c r="C88" s="2" t="s">
        <v>156</v>
      </c>
      <c r="D88" s="2" t="s">
        <v>150</v>
      </c>
      <c r="E88" s="2" t="s">
        <v>151</v>
      </c>
      <c r="F88" s="4" t="s">
        <v>157</v>
      </c>
      <c r="G88" s="2">
        <v>2</v>
      </c>
      <c r="H88" s="3">
        <f t="shared" si="13"/>
        <v>7</v>
      </c>
      <c r="I88" s="5" t="str">
        <f t="shared" si="14"/>
        <v>"Guadalupe Cáceres" turismo</v>
      </c>
      <c r="J88" s="5" t="str">
        <f t="shared" si="15"/>
        <v>"Guadalupe Cáceres" opiniones viaje</v>
      </c>
      <c r="K88" s="5" t="str">
        <f t="shared" si="16"/>
        <v>"Guadalupe Spain" travel review</v>
      </c>
      <c r="L88" s="5" t="str">
        <f t="shared" si="17"/>
        <v>"Guadalupe Spain" things to do</v>
      </c>
      <c r="M88" s="2" t="s">
        <v>26</v>
      </c>
      <c r="N88" s="2" t="s">
        <v>27</v>
      </c>
      <c r="O88" s="6">
        <v>44927</v>
      </c>
      <c r="P88" s="2">
        <v>25</v>
      </c>
      <c r="Q88" s="2" t="s">
        <v>28</v>
      </c>
      <c r="R88" s="2">
        <v>0</v>
      </c>
      <c r="S88" s="2">
        <v>1</v>
      </c>
      <c r="T88" s="2">
        <v>30</v>
      </c>
      <c r="U88" s="7" t="s">
        <v>29</v>
      </c>
      <c r="V88" s="7" t="s">
        <v>30</v>
      </c>
      <c r="W88" s="8"/>
    </row>
    <row r="89" spans="1:23" ht="42.75" x14ac:dyDescent="0.45">
      <c r="A89" s="2">
        <v>88</v>
      </c>
      <c r="B89" s="3" t="str">
        <f t="shared" si="12"/>
        <v>ES-088</v>
      </c>
      <c r="C89" s="2" t="s">
        <v>158</v>
      </c>
      <c r="D89" s="2" t="s">
        <v>159</v>
      </c>
      <c r="E89" s="2" t="s">
        <v>160</v>
      </c>
      <c r="F89" s="4" t="s">
        <v>157</v>
      </c>
      <c r="G89" s="2">
        <v>1</v>
      </c>
      <c r="H89" s="3">
        <f t="shared" si="13"/>
        <v>8</v>
      </c>
      <c r="I89" s="5" t="str">
        <f t="shared" si="14"/>
        <v>"Santiago de Compostela A Coruña" turismo</v>
      </c>
      <c r="J89" s="5" t="str">
        <f t="shared" si="15"/>
        <v>"Santiago de Compostela A Coruña" opiniones viaje</v>
      </c>
      <c r="K89" s="5" t="str">
        <f t="shared" si="16"/>
        <v>"Santiago de Compostela Spain" travel review</v>
      </c>
      <c r="L89" s="5" t="str">
        <f t="shared" si="17"/>
        <v>"Santiago de Compostela Spain" things to do</v>
      </c>
      <c r="M89" s="2" t="s">
        <v>26</v>
      </c>
      <c r="N89" s="2" t="s">
        <v>27</v>
      </c>
      <c r="O89" s="6">
        <v>44927</v>
      </c>
      <c r="P89" s="2">
        <v>25</v>
      </c>
      <c r="Q89" s="2" t="s">
        <v>28</v>
      </c>
      <c r="R89" s="2">
        <v>0</v>
      </c>
      <c r="S89" s="2">
        <v>1</v>
      </c>
      <c r="T89" s="2">
        <v>30</v>
      </c>
      <c r="U89" s="7" t="s">
        <v>29</v>
      </c>
      <c r="V89" s="7" t="s">
        <v>30</v>
      </c>
      <c r="W89" s="8"/>
    </row>
    <row r="90" spans="1:23" ht="42.75" x14ac:dyDescent="0.45">
      <c r="A90" s="2">
        <v>89</v>
      </c>
      <c r="B90" s="3" t="str">
        <f t="shared" si="12"/>
        <v>ES-089</v>
      </c>
      <c r="C90" s="2" t="s">
        <v>159</v>
      </c>
      <c r="D90" s="2" t="s">
        <v>159</v>
      </c>
      <c r="E90" s="2" t="s">
        <v>160</v>
      </c>
      <c r="F90" s="4" t="s">
        <v>74</v>
      </c>
      <c r="G90" s="2">
        <v>1</v>
      </c>
      <c r="H90" s="3">
        <f t="shared" si="13"/>
        <v>9</v>
      </c>
      <c r="I90" s="5" t="str">
        <f t="shared" si="14"/>
        <v>"A Coruña" turismo</v>
      </c>
      <c r="J90" s="5" t="str">
        <f t="shared" si="15"/>
        <v>"A Coruña" opiniones viaje</v>
      </c>
      <c r="K90" s="5" t="str">
        <f t="shared" si="16"/>
        <v>"A Coruña Spain" travel review</v>
      </c>
      <c r="L90" s="5" t="str">
        <f t="shared" si="17"/>
        <v>"A Coruña Spain" things to do</v>
      </c>
      <c r="M90" s="2" t="s">
        <v>26</v>
      </c>
      <c r="N90" s="2" t="s">
        <v>27</v>
      </c>
      <c r="O90" s="6">
        <v>44927</v>
      </c>
      <c r="P90" s="2">
        <v>25</v>
      </c>
      <c r="Q90" s="2" t="s">
        <v>28</v>
      </c>
      <c r="R90" s="2">
        <v>0</v>
      </c>
      <c r="S90" s="2">
        <v>1</v>
      </c>
      <c r="T90" s="2">
        <v>30</v>
      </c>
      <c r="U90" s="7" t="s">
        <v>29</v>
      </c>
      <c r="V90" s="7" t="s">
        <v>30</v>
      </c>
      <c r="W90" s="8"/>
    </row>
    <row r="91" spans="1:23" ht="42.75" x14ac:dyDescent="0.45">
      <c r="A91" s="2">
        <v>90</v>
      </c>
      <c r="B91" s="3" t="str">
        <f t="shared" si="12"/>
        <v>ES-090</v>
      </c>
      <c r="C91" s="2" t="s">
        <v>161</v>
      </c>
      <c r="D91" s="2" t="s">
        <v>162</v>
      </c>
      <c r="E91" s="2" t="s">
        <v>160</v>
      </c>
      <c r="F91" s="4" t="s">
        <v>74</v>
      </c>
      <c r="G91" s="2">
        <v>1</v>
      </c>
      <c r="H91" s="3">
        <f t="shared" si="13"/>
        <v>10</v>
      </c>
      <c r="I91" s="5" t="str">
        <f t="shared" si="14"/>
        <v>"Vigo Pontevedra" turismo</v>
      </c>
      <c r="J91" s="5" t="str">
        <f t="shared" si="15"/>
        <v>"Vigo Pontevedra" opiniones viaje</v>
      </c>
      <c r="K91" s="5" t="str">
        <f t="shared" si="16"/>
        <v>"Vigo Spain" travel review</v>
      </c>
      <c r="L91" s="5" t="str">
        <f t="shared" si="17"/>
        <v>"Vigo Spain" things to do</v>
      </c>
      <c r="M91" s="2" t="s">
        <v>26</v>
      </c>
      <c r="N91" s="2" t="s">
        <v>27</v>
      </c>
      <c r="O91" s="6">
        <v>44927</v>
      </c>
      <c r="P91" s="2">
        <v>25</v>
      </c>
      <c r="Q91" s="2" t="s">
        <v>28</v>
      </c>
      <c r="R91" s="2">
        <v>0</v>
      </c>
      <c r="S91" s="2">
        <v>1</v>
      </c>
      <c r="T91" s="2">
        <v>30</v>
      </c>
      <c r="U91" s="7" t="s">
        <v>29</v>
      </c>
      <c r="V91" s="7" t="s">
        <v>30</v>
      </c>
      <c r="W91" s="8"/>
    </row>
    <row r="92" spans="1:23" ht="42.75" x14ac:dyDescent="0.45">
      <c r="A92" s="2">
        <v>91</v>
      </c>
      <c r="B92" s="3" t="str">
        <f t="shared" si="12"/>
        <v>ES-091</v>
      </c>
      <c r="C92" s="2" t="s">
        <v>162</v>
      </c>
      <c r="D92" s="2" t="s">
        <v>162</v>
      </c>
      <c r="E92" s="2" t="s">
        <v>160</v>
      </c>
      <c r="F92" s="4" t="s">
        <v>66</v>
      </c>
      <c r="G92" s="2">
        <v>1</v>
      </c>
      <c r="H92" s="3">
        <f t="shared" si="13"/>
        <v>1</v>
      </c>
      <c r="I92" s="5" t="str">
        <f t="shared" si="14"/>
        <v>"Pontevedra" turismo</v>
      </c>
      <c r="J92" s="5" t="str">
        <f t="shared" si="15"/>
        <v>"Pontevedra" opiniones viaje</v>
      </c>
      <c r="K92" s="5" t="str">
        <f t="shared" si="16"/>
        <v>"Pontevedra Spain" travel review</v>
      </c>
      <c r="L92" s="5" t="str">
        <f t="shared" si="17"/>
        <v>"Pontevedra Spain" things to do</v>
      </c>
      <c r="M92" s="2" t="s">
        <v>26</v>
      </c>
      <c r="N92" s="2" t="s">
        <v>27</v>
      </c>
      <c r="O92" s="6">
        <v>44927</v>
      </c>
      <c r="P92" s="2">
        <v>25</v>
      </c>
      <c r="Q92" s="2" t="s">
        <v>28</v>
      </c>
      <c r="R92" s="2">
        <v>0</v>
      </c>
      <c r="S92" s="2">
        <v>1</v>
      </c>
      <c r="T92" s="2">
        <v>30</v>
      </c>
      <c r="U92" s="7" t="s">
        <v>29</v>
      </c>
      <c r="V92" s="7" t="s">
        <v>30</v>
      </c>
      <c r="W92" s="8"/>
    </row>
    <row r="93" spans="1:23" ht="42.75" x14ac:dyDescent="0.45">
      <c r="A93" s="2">
        <v>92</v>
      </c>
      <c r="B93" s="3" t="str">
        <f t="shared" si="12"/>
        <v>ES-092</v>
      </c>
      <c r="C93" s="2" t="s">
        <v>163</v>
      </c>
      <c r="D93" s="2" t="s">
        <v>163</v>
      </c>
      <c r="E93" s="2" t="s">
        <v>160</v>
      </c>
      <c r="F93" s="4" t="s">
        <v>32</v>
      </c>
      <c r="G93" s="2">
        <v>1</v>
      </c>
      <c r="H93" s="3">
        <f t="shared" si="13"/>
        <v>2</v>
      </c>
      <c r="I93" s="5" t="str">
        <f t="shared" si="14"/>
        <v>"Lugo" turismo</v>
      </c>
      <c r="J93" s="5" t="str">
        <f t="shared" si="15"/>
        <v>"Lugo" opiniones viaje</v>
      </c>
      <c r="K93" s="5" t="str">
        <f t="shared" si="16"/>
        <v>"Lugo Spain" travel review</v>
      </c>
      <c r="L93" s="5" t="str">
        <f t="shared" si="17"/>
        <v>"Lugo Spain" things to do</v>
      </c>
      <c r="M93" s="2" t="s">
        <v>26</v>
      </c>
      <c r="N93" s="2" t="s">
        <v>27</v>
      </c>
      <c r="O93" s="6">
        <v>44927</v>
      </c>
      <c r="P93" s="2">
        <v>25</v>
      </c>
      <c r="Q93" s="2" t="s">
        <v>28</v>
      </c>
      <c r="R93" s="2">
        <v>0</v>
      </c>
      <c r="S93" s="2">
        <v>1</v>
      </c>
      <c r="T93" s="2">
        <v>30</v>
      </c>
      <c r="U93" s="7" t="s">
        <v>29</v>
      </c>
      <c r="V93" s="7" t="s">
        <v>30</v>
      </c>
      <c r="W93" s="8"/>
    </row>
    <row r="94" spans="1:23" ht="42.75" x14ac:dyDescent="0.45">
      <c r="A94" s="2">
        <v>93</v>
      </c>
      <c r="B94" s="3" t="str">
        <f t="shared" si="12"/>
        <v>ES-093</v>
      </c>
      <c r="C94" s="2" t="s">
        <v>164</v>
      </c>
      <c r="D94" s="2" t="s">
        <v>164</v>
      </c>
      <c r="E94" s="2" t="s">
        <v>160</v>
      </c>
      <c r="F94" s="4" t="s">
        <v>165</v>
      </c>
      <c r="G94" s="2">
        <v>2</v>
      </c>
      <c r="H94" s="3">
        <f t="shared" si="13"/>
        <v>3</v>
      </c>
      <c r="I94" s="5" t="str">
        <f t="shared" si="14"/>
        <v>"Ourense" turismo</v>
      </c>
      <c r="J94" s="5" t="str">
        <f t="shared" si="15"/>
        <v>"Ourense" opiniones viaje</v>
      </c>
      <c r="K94" s="5" t="str">
        <f t="shared" si="16"/>
        <v>"Ourense Spain" travel review</v>
      </c>
      <c r="L94" s="5" t="str">
        <f t="shared" si="17"/>
        <v>"Ourense Spain" things to do</v>
      </c>
      <c r="M94" s="2" t="s">
        <v>26</v>
      </c>
      <c r="N94" s="2" t="s">
        <v>27</v>
      </c>
      <c r="O94" s="6">
        <v>44927</v>
      </c>
      <c r="P94" s="2">
        <v>25</v>
      </c>
      <c r="Q94" s="2" t="s">
        <v>28</v>
      </c>
      <c r="R94" s="2">
        <v>0</v>
      </c>
      <c r="S94" s="2">
        <v>1</v>
      </c>
      <c r="T94" s="2">
        <v>30</v>
      </c>
      <c r="U94" s="7" t="s">
        <v>29</v>
      </c>
      <c r="V94" s="7" t="s">
        <v>30</v>
      </c>
      <c r="W94" s="8"/>
    </row>
    <row r="95" spans="1:23" ht="42.75" x14ac:dyDescent="0.45">
      <c r="A95" s="2">
        <v>94</v>
      </c>
      <c r="B95" s="3" t="str">
        <f t="shared" si="12"/>
        <v>ES-094</v>
      </c>
      <c r="C95" s="2" t="s">
        <v>166</v>
      </c>
      <c r="D95" s="2" t="s">
        <v>162</v>
      </c>
      <c r="E95" s="2" t="s">
        <v>160</v>
      </c>
      <c r="F95" s="4" t="s">
        <v>80</v>
      </c>
      <c r="G95" s="2">
        <v>1</v>
      </c>
      <c r="H95" s="3">
        <f t="shared" si="13"/>
        <v>4</v>
      </c>
      <c r="I95" s="5" t="str">
        <f t="shared" si="14"/>
        <v>"Sanxenxo Pontevedra" turismo</v>
      </c>
      <c r="J95" s="5" t="str">
        <f t="shared" si="15"/>
        <v>"Sanxenxo Pontevedra" opiniones viaje</v>
      </c>
      <c r="K95" s="5" t="str">
        <f t="shared" si="16"/>
        <v>"Sanxenxo Spain" travel review</v>
      </c>
      <c r="L95" s="5" t="str">
        <f t="shared" si="17"/>
        <v>"Sanxenxo Spain" things to do</v>
      </c>
      <c r="M95" s="2" t="s">
        <v>26</v>
      </c>
      <c r="N95" s="2" t="s">
        <v>27</v>
      </c>
      <c r="O95" s="6">
        <v>44927</v>
      </c>
      <c r="P95" s="2">
        <v>25</v>
      </c>
      <c r="Q95" s="2" t="s">
        <v>28</v>
      </c>
      <c r="R95" s="2">
        <v>0</v>
      </c>
      <c r="S95" s="2">
        <v>1</v>
      </c>
      <c r="T95" s="2">
        <v>30</v>
      </c>
      <c r="U95" s="7" t="s">
        <v>29</v>
      </c>
      <c r="V95" s="7" t="s">
        <v>30</v>
      </c>
      <c r="W95" s="8"/>
    </row>
    <row r="96" spans="1:23" ht="42.75" x14ac:dyDescent="0.45">
      <c r="A96" s="2">
        <v>95</v>
      </c>
      <c r="B96" s="3" t="str">
        <f t="shared" si="12"/>
        <v>ES-095</v>
      </c>
      <c r="C96" s="2" t="s">
        <v>167</v>
      </c>
      <c r="D96" s="2" t="s">
        <v>163</v>
      </c>
      <c r="E96" s="2" t="s">
        <v>160</v>
      </c>
      <c r="F96" s="4" t="s">
        <v>46</v>
      </c>
      <c r="G96" s="2">
        <v>2</v>
      </c>
      <c r="H96" s="3">
        <f t="shared" si="13"/>
        <v>5</v>
      </c>
      <c r="I96" s="5" t="str">
        <f t="shared" si="14"/>
        <v>"Ribadeo Lugo" turismo</v>
      </c>
      <c r="J96" s="5" t="str">
        <f t="shared" si="15"/>
        <v>"Ribadeo Lugo" opiniones viaje</v>
      </c>
      <c r="K96" s="5" t="str">
        <f t="shared" si="16"/>
        <v>"Ribadeo Spain" travel review</v>
      </c>
      <c r="L96" s="5" t="str">
        <f t="shared" si="17"/>
        <v>"Ribadeo Spain" things to do</v>
      </c>
      <c r="M96" s="2" t="s">
        <v>26</v>
      </c>
      <c r="N96" s="2" t="s">
        <v>27</v>
      </c>
      <c r="O96" s="6">
        <v>44927</v>
      </c>
      <c r="P96" s="2">
        <v>25</v>
      </c>
      <c r="Q96" s="2" t="s">
        <v>28</v>
      </c>
      <c r="R96" s="2">
        <v>0</v>
      </c>
      <c r="S96" s="2">
        <v>1</v>
      </c>
      <c r="T96" s="2">
        <v>30</v>
      </c>
      <c r="U96" s="7" t="s">
        <v>29</v>
      </c>
      <c r="V96" s="7" t="s">
        <v>30</v>
      </c>
      <c r="W96" s="8"/>
    </row>
    <row r="97" spans="1:23" ht="42.75" x14ac:dyDescent="0.45">
      <c r="A97" s="2">
        <v>96</v>
      </c>
      <c r="B97" s="3" t="str">
        <f t="shared" si="12"/>
        <v>ES-096</v>
      </c>
      <c r="C97" s="2" t="s">
        <v>168</v>
      </c>
      <c r="D97" s="2" t="s">
        <v>168</v>
      </c>
      <c r="E97" s="2" t="s">
        <v>169</v>
      </c>
      <c r="F97" s="4" t="s">
        <v>25</v>
      </c>
      <c r="G97" s="2">
        <v>1</v>
      </c>
      <c r="H97" s="3">
        <f t="shared" si="13"/>
        <v>6</v>
      </c>
      <c r="I97" s="5" t="str">
        <f t="shared" si="14"/>
        <v>"Madrid" turismo</v>
      </c>
      <c r="J97" s="5" t="str">
        <f t="shared" si="15"/>
        <v>"Madrid" opiniones viaje</v>
      </c>
      <c r="K97" s="5" t="str">
        <f t="shared" si="16"/>
        <v>"Madrid Spain" travel review</v>
      </c>
      <c r="L97" s="5" t="str">
        <f t="shared" si="17"/>
        <v>"Madrid Spain" things to do</v>
      </c>
      <c r="M97" s="2" t="s">
        <v>26</v>
      </c>
      <c r="N97" s="2" t="s">
        <v>27</v>
      </c>
      <c r="O97" s="6">
        <v>44927</v>
      </c>
      <c r="P97" s="2">
        <v>25</v>
      </c>
      <c r="Q97" s="2" t="s">
        <v>28</v>
      </c>
      <c r="R97" s="2">
        <v>0</v>
      </c>
      <c r="S97" s="2">
        <v>1</v>
      </c>
      <c r="T97" s="2">
        <v>30</v>
      </c>
      <c r="U97" s="7" t="s">
        <v>29</v>
      </c>
      <c r="V97" s="7" t="s">
        <v>30</v>
      </c>
      <c r="W97" s="8"/>
    </row>
    <row r="98" spans="1:23" ht="42.75" x14ac:dyDescent="0.45">
      <c r="A98" s="2">
        <v>97</v>
      </c>
      <c r="B98" s="3" t="str">
        <f t="shared" ref="B98:B129" si="18">"ES-"&amp;TEXT(A98,"000")</f>
        <v>ES-097</v>
      </c>
      <c r="C98" s="2" t="s">
        <v>170</v>
      </c>
      <c r="D98" s="2" t="s">
        <v>168</v>
      </c>
      <c r="E98" s="2" t="s">
        <v>169</v>
      </c>
      <c r="F98" s="4" t="s">
        <v>32</v>
      </c>
      <c r="G98" s="2">
        <v>1</v>
      </c>
      <c r="H98" s="3">
        <f t="shared" ref="H98:H123" si="19">MOD(A98-1,10)+1</f>
        <v>7</v>
      </c>
      <c r="I98" s="5" t="str">
        <f t="shared" ref="I98:I123" si="20">CHAR(34)&amp;C98&amp;IF(C98=D98,""," "&amp;D98)&amp;CHAR(34)&amp;" turismo"</f>
        <v>"Alcalá de Henares Madrid" turismo</v>
      </c>
      <c r="J98" s="5" t="str">
        <f t="shared" ref="J98:J123" si="21">CHAR(34)&amp;C98&amp;IF(C98=D98,""," "&amp;D98)&amp;CHAR(34)&amp;" opiniones viaje"</f>
        <v>"Alcalá de Henares Madrid" opiniones viaje</v>
      </c>
      <c r="K98" s="5" t="str">
        <f t="shared" ref="K98:K123" si="22">CHAR(34)&amp;C98&amp;" Spain"&amp;CHAR(34)&amp;" travel review"</f>
        <v>"Alcalá de Henares Spain" travel review</v>
      </c>
      <c r="L98" s="5" t="str">
        <f t="shared" ref="L98:L123" si="23">CHAR(34)&amp;C98&amp;" Spain"&amp;CHAR(34)&amp;" things to do"</f>
        <v>"Alcalá de Henares Spain" things to do</v>
      </c>
      <c r="M98" s="2" t="s">
        <v>26</v>
      </c>
      <c r="N98" s="2" t="s">
        <v>27</v>
      </c>
      <c r="O98" s="6">
        <v>44927</v>
      </c>
      <c r="P98" s="2">
        <v>25</v>
      </c>
      <c r="Q98" s="2" t="s">
        <v>28</v>
      </c>
      <c r="R98" s="2">
        <v>0</v>
      </c>
      <c r="S98" s="2">
        <v>1</v>
      </c>
      <c r="T98" s="2">
        <v>30</v>
      </c>
      <c r="U98" s="7" t="s">
        <v>29</v>
      </c>
      <c r="V98" s="7" t="s">
        <v>30</v>
      </c>
      <c r="W98" s="8"/>
    </row>
    <row r="99" spans="1:23" ht="42.75" x14ac:dyDescent="0.45">
      <c r="A99" s="2">
        <v>98</v>
      </c>
      <c r="B99" s="3" t="str">
        <f t="shared" si="18"/>
        <v>ES-098</v>
      </c>
      <c r="C99" s="2" t="s">
        <v>171</v>
      </c>
      <c r="D99" s="2" t="s">
        <v>168</v>
      </c>
      <c r="E99" s="2" t="s">
        <v>169</v>
      </c>
      <c r="F99" s="4" t="s">
        <v>172</v>
      </c>
      <c r="G99" s="2">
        <v>1</v>
      </c>
      <c r="H99" s="3">
        <f t="shared" si="19"/>
        <v>8</v>
      </c>
      <c r="I99" s="5" t="str">
        <f t="shared" si="20"/>
        <v>"Aranjuez Madrid" turismo</v>
      </c>
      <c r="J99" s="5" t="str">
        <f t="shared" si="21"/>
        <v>"Aranjuez Madrid" opiniones viaje</v>
      </c>
      <c r="K99" s="5" t="str">
        <f t="shared" si="22"/>
        <v>"Aranjuez Spain" travel review</v>
      </c>
      <c r="L99" s="5" t="str">
        <f t="shared" si="23"/>
        <v>"Aranjuez Spain" things to do</v>
      </c>
      <c r="M99" s="2" t="s">
        <v>26</v>
      </c>
      <c r="N99" s="2" t="s">
        <v>27</v>
      </c>
      <c r="O99" s="6">
        <v>44927</v>
      </c>
      <c r="P99" s="2">
        <v>25</v>
      </c>
      <c r="Q99" s="2" t="s">
        <v>28</v>
      </c>
      <c r="R99" s="2">
        <v>0</v>
      </c>
      <c r="S99" s="2">
        <v>1</v>
      </c>
      <c r="T99" s="2">
        <v>30</v>
      </c>
      <c r="U99" s="7" t="s">
        <v>29</v>
      </c>
      <c r="V99" s="7" t="s">
        <v>30</v>
      </c>
      <c r="W99" s="8"/>
    </row>
    <row r="100" spans="1:23" ht="42.75" x14ac:dyDescent="0.45">
      <c r="A100" s="2">
        <v>99</v>
      </c>
      <c r="B100" s="3" t="str">
        <f t="shared" si="18"/>
        <v>ES-099</v>
      </c>
      <c r="C100" s="2" t="s">
        <v>173</v>
      </c>
      <c r="D100" s="2" t="s">
        <v>168</v>
      </c>
      <c r="E100" s="2" t="s">
        <v>169</v>
      </c>
      <c r="F100" s="4" t="s">
        <v>32</v>
      </c>
      <c r="G100" s="2">
        <v>1</v>
      </c>
      <c r="H100" s="3">
        <f t="shared" si="19"/>
        <v>9</v>
      </c>
      <c r="I100" s="5" t="str">
        <f t="shared" si="20"/>
        <v>"San Lorenzo de El Escorial Madrid" turismo</v>
      </c>
      <c r="J100" s="5" t="str">
        <f t="shared" si="21"/>
        <v>"San Lorenzo de El Escorial Madrid" opiniones viaje</v>
      </c>
      <c r="K100" s="5" t="str">
        <f t="shared" si="22"/>
        <v>"San Lorenzo de El Escorial Spain" travel review</v>
      </c>
      <c r="L100" s="5" t="str">
        <f t="shared" si="23"/>
        <v>"San Lorenzo de El Escorial Spain" things to do</v>
      </c>
      <c r="M100" s="2" t="s">
        <v>26</v>
      </c>
      <c r="N100" s="2" t="s">
        <v>27</v>
      </c>
      <c r="O100" s="6">
        <v>44927</v>
      </c>
      <c r="P100" s="2">
        <v>25</v>
      </c>
      <c r="Q100" s="2" t="s">
        <v>28</v>
      </c>
      <c r="R100" s="2">
        <v>0</v>
      </c>
      <c r="S100" s="2">
        <v>1</v>
      </c>
      <c r="T100" s="2">
        <v>30</v>
      </c>
      <c r="U100" s="7" t="s">
        <v>29</v>
      </c>
      <c r="V100" s="7" t="s">
        <v>30</v>
      </c>
      <c r="W100" s="8"/>
    </row>
    <row r="101" spans="1:23" ht="42.75" x14ac:dyDescent="0.45">
      <c r="A101" s="2">
        <v>100</v>
      </c>
      <c r="B101" s="3" t="str">
        <f t="shared" si="18"/>
        <v>ES-100</v>
      </c>
      <c r="C101" s="2" t="s">
        <v>174</v>
      </c>
      <c r="D101" s="2" t="s">
        <v>168</v>
      </c>
      <c r="E101" s="2" t="s">
        <v>169</v>
      </c>
      <c r="F101" s="4" t="s">
        <v>60</v>
      </c>
      <c r="G101" s="2">
        <v>2</v>
      </c>
      <c r="H101" s="3">
        <f t="shared" si="19"/>
        <v>10</v>
      </c>
      <c r="I101" s="5" t="str">
        <f t="shared" si="20"/>
        <v>"Chinchón Madrid" turismo</v>
      </c>
      <c r="J101" s="5" t="str">
        <f t="shared" si="21"/>
        <v>"Chinchón Madrid" opiniones viaje</v>
      </c>
      <c r="K101" s="5" t="str">
        <f t="shared" si="22"/>
        <v>"Chinchón Spain" travel review</v>
      </c>
      <c r="L101" s="5" t="str">
        <f t="shared" si="23"/>
        <v>"Chinchón Spain" things to do</v>
      </c>
      <c r="M101" s="2" t="s">
        <v>26</v>
      </c>
      <c r="N101" s="2" t="s">
        <v>27</v>
      </c>
      <c r="O101" s="6">
        <v>44927</v>
      </c>
      <c r="P101" s="2">
        <v>25</v>
      </c>
      <c r="Q101" s="2" t="s">
        <v>28</v>
      </c>
      <c r="R101" s="2">
        <v>0</v>
      </c>
      <c r="S101" s="2">
        <v>1</v>
      </c>
      <c r="T101" s="2">
        <v>30</v>
      </c>
      <c r="U101" s="7" t="s">
        <v>29</v>
      </c>
      <c r="V101" s="7" t="s">
        <v>30</v>
      </c>
      <c r="W101" s="8"/>
    </row>
    <row r="102" spans="1:23" ht="42.75" x14ac:dyDescent="0.45">
      <c r="A102" s="2">
        <v>101</v>
      </c>
      <c r="B102" s="3" t="str">
        <f t="shared" si="18"/>
        <v>ES-101</v>
      </c>
      <c r="C102" s="2" t="s">
        <v>175</v>
      </c>
      <c r="D102" s="2" t="s">
        <v>168</v>
      </c>
      <c r="E102" s="2" t="s">
        <v>169</v>
      </c>
      <c r="F102" s="4" t="s">
        <v>39</v>
      </c>
      <c r="G102" s="2">
        <v>2</v>
      </c>
      <c r="H102" s="3">
        <f t="shared" si="19"/>
        <v>1</v>
      </c>
      <c r="I102" s="5" t="str">
        <f t="shared" si="20"/>
        <v>"Buitrago del Lozoya Madrid" turismo</v>
      </c>
      <c r="J102" s="5" t="str">
        <f t="shared" si="21"/>
        <v>"Buitrago del Lozoya Madrid" opiniones viaje</v>
      </c>
      <c r="K102" s="5" t="str">
        <f t="shared" si="22"/>
        <v>"Buitrago del Lozoya Spain" travel review</v>
      </c>
      <c r="L102" s="5" t="str">
        <f t="shared" si="23"/>
        <v>"Buitrago del Lozoya Spain" things to do</v>
      </c>
      <c r="M102" s="2" t="s">
        <v>26</v>
      </c>
      <c r="N102" s="2" t="s">
        <v>27</v>
      </c>
      <c r="O102" s="6">
        <v>44927</v>
      </c>
      <c r="P102" s="2">
        <v>25</v>
      </c>
      <c r="Q102" s="2" t="s">
        <v>28</v>
      </c>
      <c r="R102" s="2">
        <v>0</v>
      </c>
      <c r="S102" s="2">
        <v>1</v>
      </c>
      <c r="T102" s="2">
        <v>30</v>
      </c>
      <c r="U102" s="7" t="s">
        <v>29</v>
      </c>
      <c r="V102" s="7" t="s">
        <v>30</v>
      </c>
      <c r="W102" s="8"/>
    </row>
    <row r="103" spans="1:23" ht="42.75" x14ac:dyDescent="0.45">
      <c r="A103" s="2">
        <v>102</v>
      </c>
      <c r="B103" s="3" t="str">
        <f t="shared" si="18"/>
        <v>ES-102</v>
      </c>
      <c r="C103" s="2" t="s">
        <v>176</v>
      </c>
      <c r="D103" s="2" t="s">
        <v>176</v>
      </c>
      <c r="E103" s="2" t="s">
        <v>177</v>
      </c>
      <c r="F103" s="4" t="s">
        <v>118</v>
      </c>
      <c r="G103" s="2">
        <v>1</v>
      </c>
      <c r="H103" s="3">
        <f t="shared" si="19"/>
        <v>2</v>
      </c>
      <c r="I103" s="5" t="str">
        <f t="shared" si="20"/>
        <v>"Murcia" turismo</v>
      </c>
      <c r="J103" s="5" t="str">
        <f t="shared" si="21"/>
        <v>"Murcia" opiniones viaje</v>
      </c>
      <c r="K103" s="5" t="str">
        <f t="shared" si="22"/>
        <v>"Murcia Spain" travel review</v>
      </c>
      <c r="L103" s="5" t="str">
        <f t="shared" si="23"/>
        <v>"Murcia Spain" things to do</v>
      </c>
      <c r="M103" s="2" t="s">
        <v>26</v>
      </c>
      <c r="N103" s="2" t="s">
        <v>27</v>
      </c>
      <c r="O103" s="6">
        <v>44927</v>
      </c>
      <c r="P103" s="2">
        <v>25</v>
      </c>
      <c r="Q103" s="2" t="s">
        <v>28</v>
      </c>
      <c r="R103" s="2">
        <v>0</v>
      </c>
      <c r="S103" s="2">
        <v>1</v>
      </c>
      <c r="T103" s="2">
        <v>30</v>
      </c>
      <c r="U103" s="7" t="s">
        <v>29</v>
      </c>
      <c r="V103" s="7" t="s">
        <v>30</v>
      </c>
      <c r="W103" s="8"/>
    </row>
    <row r="104" spans="1:23" ht="42.75" x14ac:dyDescent="0.45">
      <c r="A104" s="2">
        <v>103</v>
      </c>
      <c r="B104" s="3" t="str">
        <f t="shared" si="18"/>
        <v>ES-103</v>
      </c>
      <c r="C104" s="2" t="s">
        <v>178</v>
      </c>
      <c r="D104" s="2" t="s">
        <v>176</v>
      </c>
      <c r="E104" s="2" t="s">
        <v>177</v>
      </c>
      <c r="F104" s="4" t="s">
        <v>99</v>
      </c>
      <c r="G104" s="2">
        <v>1</v>
      </c>
      <c r="H104" s="3">
        <f t="shared" si="19"/>
        <v>3</v>
      </c>
      <c r="I104" s="5" t="str">
        <f t="shared" si="20"/>
        <v>"Cartagena Murcia" turismo</v>
      </c>
      <c r="J104" s="5" t="str">
        <f t="shared" si="21"/>
        <v>"Cartagena Murcia" opiniones viaje</v>
      </c>
      <c r="K104" s="5" t="str">
        <f t="shared" si="22"/>
        <v>"Cartagena Spain" travel review</v>
      </c>
      <c r="L104" s="5" t="str">
        <f t="shared" si="23"/>
        <v>"Cartagena Spain" things to do</v>
      </c>
      <c r="M104" s="2" t="s">
        <v>26</v>
      </c>
      <c r="N104" s="2" t="s">
        <v>27</v>
      </c>
      <c r="O104" s="6">
        <v>44927</v>
      </c>
      <c r="P104" s="2">
        <v>25</v>
      </c>
      <c r="Q104" s="2" t="s">
        <v>28</v>
      </c>
      <c r="R104" s="2">
        <v>0</v>
      </c>
      <c r="S104" s="2">
        <v>1</v>
      </c>
      <c r="T104" s="2">
        <v>30</v>
      </c>
      <c r="U104" s="7" t="s">
        <v>29</v>
      </c>
      <c r="V104" s="7" t="s">
        <v>30</v>
      </c>
      <c r="W104" s="8"/>
    </row>
    <row r="105" spans="1:23" ht="42.75" x14ac:dyDescent="0.45">
      <c r="A105" s="2">
        <v>104</v>
      </c>
      <c r="B105" s="3" t="str">
        <f t="shared" si="18"/>
        <v>ES-104</v>
      </c>
      <c r="C105" s="2" t="s">
        <v>179</v>
      </c>
      <c r="D105" s="2" t="s">
        <v>176</v>
      </c>
      <c r="E105" s="2" t="s">
        <v>177</v>
      </c>
      <c r="F105" s="4" t="s">
        <v>32</v>
      </c>
      <c r="G105" s="2">
        <v>2</v>
      </c>
      <c r="H105" s="3">
        <f t="shared" si="19"/>
        <v>4</v>
      </c>
      <c r="I105" s="5" t="str">
        <f t="shared" si="20"/>
        <v>"Lorca Murcia" turismo</v>
      </c>
      <c r="J105" s="5" t="str">
        <f t="shared" si="21"/>
        <v>"Lorca Murcia" opiniones viaje</v>
      </c>
      <c r="K105" s="5" t="str">
        <f t="shared" si="22"/>
        <v>"Lorca Spain" travel review</v>
      </c>
      <c r="L105" s="5" t="str">
        <f t="shared" si="23"/>
        <v>"Lorca Spain" things to do</v>
      </c>
      <c r="M105" s="2" t="s">
        <v>26</v>
      </c>
      <c r="N105" s="2" t="s">
        <v>27</v>
      </c>
      <c r="O105" s="6">
        <v>44927</v>
      </c>
      <c r="P105" s="2">
        <v>25</v>
      </c>
      <c r="Q105" s="2" t="s">
        <v>28</v>
      </c>
      <c r="R105" s="2">
        <v>0</v>
      </c>
      <c r="S105" s="2">
        <v>1</v>
      </c>
      <c r="T105" s="2">
        <v>30</v>
      </c>
      <c r="U105" s="7" t="s">
        <v>29</v>
      </c>
      <c r="V105" s="7" t="s">
        <v>30</v>
      </c>
      <c r="W105" s="8"/>
    </row>
    <row r="106" spans="1:23" ht="42.75" x14ac:dyDescent="0.45">
      <c r="A106" s="2">
        <v>105</v>
      </c>
      <c r="B106" s="3" t="str">
        <f t="shared" si="18"/>
        <v>ES-105</v>
      </c>
      <c r="C106" s="2" t="s">
        <v>180</v>
      </c>
      <c r="D106" s="2" t="s">
        <v>176</v>
      </c>
      <c r="E106" s="2" t="s">
        <v>177</v>
      </c>
      <c r="F106" s="4" t="s">
        <v>157</v>
      </c>
      <c r="G106" s="2">
        <v>1</v>
      </c>
      <c r="H106" s="3">
        <f t="shared" si="19"/>
        <v>5</v>
      </c>
      <c r="I106" s="5" t="str">
        <f t="shared" si="20"/>
        <v>"Caravaca de la Cruz Murcia" turismo</v>
      </c>
      <c r="J106" s="5" t="str">
        <f t="shared" si="21"/>
        <v>"Caravaca de la Cruz Murcia" opiniones viaje</v>
      </c>
      <c r="K106" s="5" t="str">
        <f t="shared" si="22"/>
        <v>"Caravaca de la Cruz Spain" travel review</v>
      </c>
      <c r="L106" s="5" t="str">
        <f t="shared" si="23"/>
        <v>"Caravaca de la Cruz Spain" things to do</v>
      </c>
      <c r="M106" s="2" t="s">
        <v>26</v>
      </c>
      <c r="N106" s="2" t="s">
        <v>27</v>
      </c>
      <c r="O106" s="6">
        <v>44927</v>
      </c>
      <c r="P106" s="2">
        <v>25</v>
      </c>
      <c r="Q106" s="2" t="s">
        <v>28</v>
      </c>
      <c r="R106" s="2">
        <v>0</v>
      </c>
      <c r="S106" s="2">
        <v>1</v>
      </c>
      <c r="T106" s="2">
        <v>30</v>
      </c>
      <c r="U106" s="7" t="s">
        <v>29</v>
      </c>
      <c r="V106" s="7" t="s">
        <v>30</v>
      </c>
      <c r="W106" s="8"/>
    </row>
    <row r="107" spans="1:23" ht="42.75" x14ac:dyDescent="0.45">
      <c r="A107" s="2">
        <v>106</v>
      </c>
      <c r="B107" s="3" t="str">
        <f t="shared" si="18"/>
        <v>ES-106</v>
      </c>
      <c r="C107" s="2" t="s">
        <v>181</v>
      </c>
      <c r="D107" s="2" t="s">
        <v>176</v>
      </c>
      <c r="E107" s="2" t="s">
        <v>177</v>
      </c>
      <c r="F107" s="4" t="s">
        <v>80</v>
      </c>
      <c r="G107" s="2">
        <v>2</v>
      </c>
      <c r="H107" s="3">
        <f t="shared" si="19"/>
        <v>6</v>
      </c>
      <c r="I107" s="5" t="str">
        <f t="shared" si="20"/>
        <v>"Águilas Murcia" turismo</v>
      </c>
      <c r="J107" s="5" t="str">
        <f t="shared" si="21"/>
        <v>"Águilas Murcia" opiniones viaje</v>
      </c>
      <c r="K107" s="5" t="str">
        <f t="shared" si="22"/>
        <v>"Águilas Spain" travel review</v>
      </c>
      <c r="L107" s="5" t="str">
        <f t="shared" si="23"/>
        <v>"Águilas Spain" things to do</v>
      </c>
      <c r="M107" s="2" t="s">
        <v>26</v>
      </c>
      <c r="N107" s="2" t="s">
        <v>27</v>
      </c>
      <c r="O107" s="6">
        <v>44927</v>
      </c>
      <c r="P107" s="2">
        <v>25</v>
      </c>
      <c r="Q107" s="2" t="s">
        <v>28</v>
      </c>
      <c r="R107" s="2">
        <v>0</v>
      </c>
      <c r="S107" s="2">
        <v>1</v>
      </c>
      <c r="T107" s="2">
        <v>30</v>
      </c>
      <c r="U107" s="7" t="s">
        <v>29</v>
      </c>
      <c r="V107" s="7" t="s">
        <v>30</v>
      </c>
      <c r="W107" s="8"/>
    </row>
    <row r="108" spans="1:23" ht="42.75" x14ac:dyDescent="0.45">
      <c r="A108" s="2">
        <v>107</v>
      </c>
      <c r="B108" s="3" t="str">
        <f t="shared" si="18"/>
        <v>ES-107</v>
      </c>
      <c r="C108" s="2" t="s">
        <v>182</v>
      </c>
      <c r="D108" s="2" t="s">
        <v>183</v>
      </c>
      <c r="E108" s="2" t="s">
        <v>184</v>
      </c>
      <c r="F108" s="4" t="s">
        <v>25</v>
      </c>
      <c r="G108" s="2">
        <v>1</v>
      </c>
      <c r="H108" s="3">
        <f t="shared" si="19"/>
        <v>7</v>
      </c>
      <c r="I108" s="5" t="str">
        <f t="shared" si="20"/>
        <v>"Pamplona/Iruña Navarra" turismo</v>
      </c>
      <c r="J108" s="5" t="str">
        <f t="shared" si="21"/>
        <v>"Pamplona/Iruña Navarra" opiniones viaje</v>
      </c>
      <c r="K108" s="5" t="str">
        <f t="shared" si="22"/>
        <v>"Pamplona/Iruña Spain" travel review</v>
      </c>
      <c r="L108" s="5" t="str">
        <f t="shared" si="23"/>
        <v>"Pamplona/Iruña Spain" things to do</v>
      </c>
      <c r="M108" s="2" t="s">
        <v>26</v>
      </c>
      <c r="N108" s="2" t="s">
        <v>27</v>
      </c>
      <c r="O108" s="6">
        <v>44927</v>
      </c>
      <c r="P108" s="2">
        <v>25</v>
      </c>
      <c r="Q108" s="2" t="s">
        <v>28</v>
      </c>
      <c r="R108" s="2">
        <v>0</v>
      </c>
      <c r="S108" s="2">
        <v>1</v>
      </c>
      <c r="T108" s="2">
        <v>30</v>
      </c>
      <c r="U108" s="7" t="s">
        <v>29</v>
      </c>
      <c r="V108" s="7" t="s">
        <v>30</v>
      </c>
      <c r="W108" s="8"/>
    </row>
    <row r="109" spans="1:23" ht="42.75" x14ac:dyDescent="0.45">
      <c r="A109" s="2">
        <v>108</v>
      </c>
      <c r="B109" s="3" t="str">
        <f t="shared" si="18"/>
        <v>ES-108</v>
      </c>
      <c r="C109" s="2" t="s">
        <v>185</v>
      </c>
      <c r="D109" s="2" t="s">
        <v>183</v>
      </c>
      <c r="E109" s="2" t="s">
        <v>184</v>
      </c>
      <c r="F109" s="4" t="s">
        <v>186</v>
      </c>
      <c r="G109" s="2">
        <v>2</v>
      </c>
      <c r="H109" s="3">
        <f t="shared" si="19"/>
        <v>8</v>
      </c>
      <c r="I109" s="5" t="str">
        <f t="shared" si="20"/>
        <v>"Tudela Navarra" turismo</v>
      </c>
      <c r="J109" s="5" t="str">
        <f t="shared" si="21"/>
        <v>"Tudela Navarra" opiniones viaje</v>
      </c>
      <c r="K109" s="5" t="str">
        <f t="shared" si="22"/>
        <v>"Tudela Spain" travel review</v>
      </c>
      <c r="L109" s="5" t="str">
        <f t="shared" si="23"/>
        <v>"Tudela Spain" things to do</v>
      </c>
      <c r="M109" s="2" t="s">
        <v>26</v>
      </c>
      <c r="N109" s="2" t="s">
        <v>27</v>
      </c>
      <c r="O109" s="6">
        <v>44927</v>
      </c>
      <c r="P109" s="2">
        <v>25</v>
      </c>
      <c r="Q109" s="2" t="s">
        <v>28</v>
      </c>
      <c r="R109" s="2">
        <v>0</v>
      </c>
      <c r="S109" s="2">
        <v>1</v>
      </c>
      <c r="T109" s="2">
        <v>30</v>
      </c>
      <c r="U109" s="7" t="s">
        <v>29</v>
      </c>
      <c r="V109" s="7" t="s">
        <v>30</v>
      </c>
      <c r="W109" s="8"/>
    </row>
    <row r="110" spans="1:23" ht="42.75" x14ac:dyDescent="0.45">
      <c r="A110" s="2">
        <v>109</v>
      </c>
      <c r="B110" s="3" t="str">
        <f t="shared" si="18"/>
        <v>ES-109</v>
      </c>
      <c r="C110" s="2" t="s">
        <v>187</v>
      </c>
      <c r="D110" s="2" t="s">
        <v>183</v>
      </c>
      <c r="E110" s="2" t="s">
        <v>184</v>
      </c>
      <c r="F110" s="4" t="s">
        <v>188</v>
      </c>
      <c r="G110" s="2">
        <v>2</v>
      </c>
      <c r="H110" s="3">
        <f t="shared" si="19"/>
        <v>9</v>
      </c>
      <c r="I110" s="5" t="str">
        <f t="shared" si="20"/>
        <v>"Estella-Lizarra Navarra" turismo</v>
      </c>
      <c r="J110" s="5" t="str">
        <f t="shared" si="21"/>
        <v>"Estella-Lizarra Navarra" opiniones viaje</v>
      </c>
      <c r="K110" s="5" t="str">
        <f t="shared" si="22"/>
        <v>"Estella-Lizarra Spain" travel review</v>
      </c>
      <c r="L110" s="5" t="str">
        <f t="shared" si="23"/>
        <v>"Estella-Lizarra Spain" things to do</v>
      </c>
      <c r="M110" s="2" t="s">
        <v>26</v>
      </c>
      <c r="N110" s="2" t="s">
        <v>27</v>
      </c>
      <c r="O110" s="6">
        <v>44927</v>
      </c>
      <c r="P110" s="2">
        <v>25</v>
      </c>
      <c r="Q110" s="2" t="s">
        <v>28</v>
      </c>
      <c r="R110" s="2">
        <v>0</v>
      </c>
      <c r="S110" s="2">
        <v>1</v>
      </c>
      <c r="T110" s="2">
        <v>30</v>
      </c>
      <c r="U110" s="7" t="s">
        <v>29</v>
      </c>
      <c r="V110" s="7" t="s">
        <v>30</v>
      </c>
      <c r="W110" s="8"/>
    </row>
    <row r="111" spans="1:23" ht="42.75" x14ac:dyDescent="0.45">
      <c r="A111" s="2">
        <v>110</v>
      </c>
      <c r="B111" s="3" t="str">
        <f t="shared" si="18"/>
        <v>ES-110</v>
      </c>
      <c r="C111" s="2" t="s">
        <v>189</v>
      </c>
      <c r="D111" s="2" t="s">
        <v>183</v>
      </c>
      <c r="E111" s="2" t="s">
        <v>184</v>
      </c>
      <c r="F111" s="4" t="s">
        <v>32</v>
      </c>
      <c r="G111" s="2">
        <v>1</v>
      </c>
      <c r="H111" s="3">
        <f t="shared" si="19"/>
        <v>10</v>
      </c>
      <c r="I111" s="5" t="str">
        <f t="shared" si="20"/>
        <v>"Olite/Erriberri Navarra" turismo</v>
      </c>
      <c r="J111" s="5" t="str">
        <f t="shared" si="21"/>
        <v>"Olite/Erriberri Navarra" opiniones viaje</v>
      </c>
      <c r="K111" s="5" t="str">
        <f t="shared" si="22"/>
        <v>"Olite/Erriberri Spain" travel review</v>
      </c>
      <c r="L111" s="5" t="str">
        <f t="shared" si="23"/>
        <v>"Olite/Erriberri Spain" things to do</v>
      </c>
      <c r="M111" s="2" t="s">
        <v>26</v>
      </c>
      <c r="N111" s="2" t="s">
        <v>27</v>
      </c>
      <c r="O111" s="6">
        <v>44927</v>
      </c>
      <c r="P111" s="2">
        <v>25</v>
      </c>
      <c r="Q111" s="2" t="s">
        <v>28</v>
      </c>
      <c r="R111" s="2">
        <v>0</v>
      </c>
      <c r="S111" s="2">
        <v>1</v>
      </c>
      <c r="T111" s="2">
        <v>30</v>
      </c>
      <c r="U111" s="7" t="s">
        <v>29</v>
      </c>
      <c r="V111" s="7" t="s">
        <v>30</v>
      </c>
      <c r="W111" s="8"/>
    </row>
    <row r="112" spans="1:23" ht="42.75" x14ac:dyDescent="0.45">
      <c r="A112" s="2">
        <v>111</v>
      </c>
      <c r="B112" s="3" t="str">
        <f t="shared" si="18"/>
        <v>ES-111</v>
      </c>
      <c r="C112" s="2" t="s">
        <v>190</v>
      </c>
      <c r="D112" s="2" t="s">
        <v>191</v>
      </c>
      <c r="E112" s="2" t="s">
        <v>192</v>
      </c>
      <c r="F112" s="4" t="s">
        <v>25</v>
      </c>
      <c r="G112" s="2">
        <v>1</v>
      </c>
      <c r="H112" s="3">
        <f t="shared" si="19"/>
        <v>1</v>
      </c>
      <c r="I112" s="5" t="str">
        <f t="shared" si="20"/>
        <v>"Bilbao Bizkaia" turismo</v>
      </c>
      <c r="J112" s="5" t="str">
        <f t="shared" si="21"/>
        <v>"Bilbao Bizkaia" opiniones viaje</v>
      </c>
      <c r="K112" s="5" t="str">
        <f t="shared" si="22"/>
        <v>"Bilbao Spain" travel review</v>
      </c>
      <c r="L112" s="5" t="str">
        <f t="shared" si="23"/>
        <v>"Bilbao Spain" things to do</v>
      </c>
      <c r="M112" s="2" t="s">
        <v>26</v>
      </c>
      <c r="N112" s="2" t="s">
        <v>27</v>
      </c>
      <c r="O112" s="6">
        <v>44927</v>
      </c>
      <c r="P112" s="2">
        <v>25</v>
      </c>
      <c r="Q112" s="2" t="s">
        <v>28</v>
      </c>
      <c r="R112" s="2">
        <v>0</v>
      </c>
      <c r="S112" s="2">
        <v>1</v>
      </c>
      <c r="T112" s="2">
        <v>30</v>
      </c>
      <c r="U112" s="7" t="s">
        <v>29</v>
      </c>
      <c r="V112" s="7" t="s">
        <v>30</v>
      </c>
      <c r="W112" s="8"/>
    </row>
    <row r="113" spans="1:23" ht="42.75" x14ac:dyDescent="0.45">
      <c r="A113" s="2">
        <v>112</v>
      </c>
      <c r="B113" s="3" t="str">
        <f t="shared" si="18"/>
        <v>ES-112</v>
      </c>
      <c r="C113" s="2" t="s">
        <v>193</v>
      </c>
      <c r="D113" s="2" t="s">
        <v>194</v>
      </c>
      <c r="E113" s="2" t="s">
        <v>192</v>
      </c>
      <c r="F113" s="4" t="s">
        <v>148</v>
      </c>
      <c r="G113" s="2">
        <v>1</v>
      </c>
      <c r="H113" s="3">
        <f t="shared" si="19"/>
        <v>2</v>
      </c>
      <c r="I113" s="5" t="str">
        <f t="shared" si="20"/>
        <v>"Donostia/San Sebastián Gipuzkoa" turismo</v>
      </c>
      <c r="J113" s="5" t="str">
        <f t="shared" si="21"/>
        <v>"Donostia/San Sebastián Gipuzkoa" opiniones viaje</v>
      </c>
      <c r="K113" s="5" t="str">
        <f t="shared" si="22"/>
        <v>"Donostia/San Sebastián Spain" travel review</v>
      </c>
      <c r="L113" s="5" t="str">
        <f t="shared" si="23"/>
        <v>"Donostia/San Sebastián Spain" things to do</v>
      </c>
      <c r="M113" s="2" t="s">
        <v>26</v>
      </c>
      <c r="N113" s="2" t="s">
        <v>27</v>
      </c>
      <c r="O113" s="6">
        <v>44927</v>
      </c>
      <c r="P113" s="2">
        <v>25</v>
      </c>
      <c r="Q113" s="2" t="s">
        <v>28</v>
      </c>
      <c r="R113" s="2">
        <v>0</v>
      </c>
      <c r="S113" s="2">
        <v>1</v>
      </c>
      <c r="T113" s="2">
        <v>30</v>
      </c>
      <c r="U113" s="7" t="s">
        <v>29</v>
      </c>
      <c r="V113" s="7" t="s">
        <v>30</v>
      </c>
      <c r="W113" s="8"/>
    </row>
    <row r="114" spans="1:23" ht="42.75" x14ac:dyDescent="0.45">
      <c r="A114" s="2">
        <v>113</v>
      </c>
      <c r="B114" s="3" t="str">
        <f t="shared" si="18"/>
        <v>ES-113</v>
      </c>
      <c r="C114" s="2" t="s">
        <v>195</v>
      </c>
      <c r="D114" s="2" t="s">
        <v>196</v>
      </c>
      <c r="E114" s="2" t="s">
        <v>192</v>
      </c>
      <c r="F114" s="4" t="s">
        <v>130</v>
      </c>
      <c r="G114" s="2">
        <v>1</v>
      </c>
      <c r="H114" s="3">
        <f t="shared" si="19"/>
        <v>3</v>
      </c>
      <c r="I114" s="5" t="str">
        <f t="shared" si="20"/>
        <v>"Vitoria-Gasteiz Araba/Álava" turismo</v>
      </c>
      <c r="J114" s="5" t="str">
        <f t="shared" si="21"/>
        <v>"Vitoria-Gasteiz Araba/Álava" opiniones viaje</v>
      </c>
      <c r="K114" s="5" t="str">
        <f t="shared" si="22"/>
        <v>"Vitoria-Gasteiz Spain" travel review</v>
      </c>
      <c r="L114" s="5" t="str">
        <f t="shared" si="23"/>
        <v>"Vitoria-Gasteiz Spain" things to do</v>
      </c>
      <c r="M114" s="2" t="s">
        <v>26</v>
      </c>
      <c r="N114" s="2" t="s">
        <v>27</v>
      </c>
      <c r="O114" s="6">
        <v>44927</v>
      </c>
      <c r="P114" s="2">
        <v>25</v>
      </c>
      <c r="Q114" s="2" t="s">
        <v>28</v>
      </c>
      <c r="R114" s="2">
        <v>0</v>
      </c>
      <c r="S114" s="2">
        <v>1</v>
      </c>
      <c r="T114" s="2">
        <v>30</v>
      </c>
      <c r="U114" s="7" t="s">
        <v>29</v>
      </c>
      <c r="V114" s="7" t="s">
        <v>30</v>
      </c>
      <c r="W114" s="8"/>
    </row>
    <row r="115" spans="1:23" ht="42.75" x14ac:dyDescent="0.45">
      <c r="A115" s="2">
        <v>114</v>
      </c>
      <c r="B115" s="3" t="str">
        <f t="shared" si="18"/>
        <v>ES-114</v>
      </c>
      <c r="C115" s="2" t="s">
        <v>197</v>
      </c>
      <c r="D115" s="2" t="s">
        <v>194</v>
      </c>
      <c r="E115" s="2" t="s">
        <v>192</v>
      </c>
      <c r="F115" s="4" t="s">
        <v>41</v>
      </c>
      <c r="G115" s="2">
        <v>1</v>
      </c>
      <c r="H115" s="3">
        <f t="shared" si="19"/>
        <v>4</v>
      </c>
      <c r="I115" s="5" t="str">
        <f t="shared" si="20"/>
        <v>"Hondarribia Gipuzkoa" turismo</v>
      </c>
      <c r="J115" s="5" t="str">
        <f t="shared" si="21"/>
        <v>"Hondarribia Gipuzkoa" opiniones viaje</v>
      </c>
      <c r="K115" s="5" t="str">
        <f t="shared" si="22"/>
        <v>"Hondarribia Spain" travel review</v>
      </c>
      <c r="L115" s="5" t="str">
        <f t="shared" si="23"/>
        <v>"Hondarribia Spain" things to do</v>
      </c>
      <c r="M115" s="2" t="s">
        <v>26</v>
      </c>
      <c r="N115" s="2" t="s">
        <v>27</v>
      </c>
      <c r="O115" s="6">
        <v>44927</v>
      </c>
      <c r="P115" s="2">
        <v>25</v>
      </c>
      <c r="Q115" s="2" t="s">
        <v>28</v>
      </c>
      <c r="R115" s="2">
        <v>0</v>
      </c>
      <c r="S115" s="2">
        <v>1</v>
      </c>
      <c r="T115" s="2">
        <v>30</v>
      </c>
      <c r="U115" s="7" t="s">
        <v>29</v>
      </c>
      <c r="V115" s="7" t="s">
        <v>30</v>
      </c>
      <c r="W115" s="8"/>
    </row>
    <row r="116" spans="1:23" ht="42.75" x14ac:dyDescent="0.45">
      <c r="A116" s="2">
        <v>115</v>
      </c>
      <c r="B116" s="3" t="str">
        <f t="shared" si="18"/>
        <v>ES-115</v>
      </c>
      <c r="C116" s="2" t="s">
        <v>198</v>
      </c>
      <c r="D116" s="2" t="s">
        <v>194</v>
      </c>
      <c r="E116" s="2" t="s">
        <v>192</v>
      </c>
      <c r="F116" s="4" t="s">
        <v>148</v>
      </c>
      <c r="G116" s="2">
        <v>2</v>
      </c>
      <c r="H116" s="3">
        <f t="shared" si="19"/>
        <v>5</v>
      </c>
      <c r="I116" s="5" t="str">
        <f t="shared" si="20"/>
        <v>"Getaria Gipuzkoa" turismo</v>
      </c>
      <c r="J116" s="5" t="str">
        <f t="shared" si="21"/>
        <v>"Getaria Gipuzkoa" opiniones viaje</v>
      </c>
      <c r="K116" s="5" t="str">
        <f t="shared" si="22"/>
        <v>"Getaria Spain" travel review</v>
      </c>
      <c r="L116" s="5" t="str">
        <f t="shared" si="23"/>
        <v>"Getaria Spain" things to do</v>
      </c>
      <c r="M116" s="2" t="s">
        <v>26</v>
      </c>
      <c r="N116" s="2" t="s">
        <v>27</v>
      </c>
      <c r="O116" s="6">
        <v>44927</v>
      </c>
      <c r="P116" s="2">
        <v>25</v>
      </c>
      <c r="Q116" s="2" t="s">
        <v>28</v>
      </c>
      <c r="R116" s="2">
        <v>0</v>
      </c>
      <c r="S116" s="2">
        <v>1</v>
      </c>
      <c r="T116" s="2">
        <v>30</v>
      </c>
      <c r="U116" s="7" t="s">
        <v>29</v>
      </c>
      <c r="V116" s="7" t="s">
        <v>30</v>
      </c>
      <c r="W116" s="8"/>
    </row>
    <row r="117" spans="1:23" ht="42.75" x14ac:dyDescent="0.45">
      <c r="A117" s="2">
        <v>116</v>
      </c>
      <c r="B117" s="3" t="str">
        <f t="shared" si="18"/>
        <v>ES-116</v>
      </c>
      <c r="C117" s="2" t="s">
        <v>199</v>
      </c>
      <c r="D117" s="2" t="s">
        <v>191</v>
      </c>
      <c r="E117" s="2" t="s">
        <v>192</v>
      </c>
      <c r="F117" s="4" t="s">
        <v>46</v>
      </c>
      <c r="G117" s="2">
        <v>2</v>
      </c>
      <c r="H117" s="3">
        <f t="shared" si="19"/>
        <v>6</v>
      </c>
      <c r="I117" s="5" t="str">
        <f t="shared" si="20"/>
        <v>"Bermeo Bizkaia" turismo</v>
      </c>
      <c r="J117" s="5" t="str">
        <f t="shared" si="21"/>
        <v>"Bermeo Bizkaia" opiniones viaje</v>
      </c>
      <c r="K117" s="5" t="str">
        <f t="shared" si="22"/>
        <v>"Bermeo Spain" travel review</v>
      </c>
      <c r="L117" s="5" t="str">
        <f t="shared" si="23"/>
        <v>"Bermeo Spain" things to do</v>
      </c>
      <c r="M117" s="2" t="s">
        <v>26</v>
      </c>
      <c r="N117" s="2" t="s">
        <v>27</v>
      </c>
      <c r="O117" s="6">
        <v>44927</v>
      </c>
      <c r="P117" s="2">
        <v>25</v>
      </c>
      <c r="Q117" s="2" t="s">
        <v>28</v>
      </c>
      <c r="R117" s="2">
        <v>0</v>
      </c>
      <c r="S117" s="2">
        <v>1</v>
      </c>
      <c r="T117" s="2">
        <v>30</v>
      </c>
      <c r="U117" s="7" t="s">
        <v>29</v>
      </c>
      <c r="V117" s="7" t="s">
        <v>30</v>
      </c>
      <c r="W117" s="8"/>
    </row>
    <row r="118" spans="1:23" ht="42.75" x14ac:dyDescent="0.45">
      <c r="A118" s="2">
        <v>117</v>
      </c>
      <c r="B118" s="3" t="str">
        <f t="shared" si="18"/>
        <v>ES-117</v>
      </c>
      <c r="C118" s="2" t="s">
        <v>200</v>
      </c>
      <c r="D118" s="2" t="s">
        <v>201</v>
      </c>
      <c r="E118" s="2" t="s">
        <v>202</v>
      </c>
      <c r="F118" s="4" t="s">
        <v>203</v>
      </c>
      <c r="G118" s="2">
        <v>1</v>
      </c>
      <c r="H118" s="3">
        <f t="shared" si="19"/>
        <v>7</v>
      </c>
      <c r="I118" s="5" t="str">
        <f t="shared" si="20"/>
        <v>"Logroño Rioja, La" turismo</v>
      </c>
      <c r="J118" s="5" t="str">
        <f t="shared" si="21"/>
        <v>"Logroño Rioja, La" opiniones viaje</v>
      </c>
      <c r="K118" s="5" t="str">
        <f t="shared" si="22"/>
        <v>"Logroño Spain" travel review</v>
      </c>
      <c r="L118" s="5" t="str">
        <f t="shared" si="23"/>
        <v>"Logroño Spain" things to do</v>
      </c>
      <c r="M118" s="2" t="s">
        <v>26</v>
      </c>
      <c r="N118" s="2" t="s">
        <v>27</v>
      </c>
      <c r="O118" s="6">
        <v>44927</v>
      </c>
      <c r="P118" s="2">
        <v>25</v>
      </c>
      <c r="Q118" s="2" t="s">
        <v>28</v>
      </c>
      <c r="R118" s="2">
        <v>0</v>
      </c>
      <c r="S118" s="2">
        <v>1</v>
      </c>
      <c r="T118" s="2">
        <v>30</v>
      </c>
      <c r="U118" s="7" t="s">
        <v>29</v>
      </c>
      <c r="V118" s="7" t="s">
        <v>30</v>
      </c>
      <c r="W118" s="8"/>
    </row>
    <row r="119" spans="1:23" ht="42.75" x14ac:dyDescent="0.45">
      <c r="A119" s="2">
        <v>118</v>
      </c>
      <c r="B119" s="3" t="str">
        <f t="shared" si="18"/>
        <v>ES-118</v>
      </c>
      <c r="C119" s="2" t="s">
        <v>204</v>
      </c>
      <c r="D119" s="2" t="s">
        <v>201</v>
      </c>
      <c r="E119" s="2" t="s">
        <v>202</v>
      </c>
      <c r="F119" s="4" t="s">
        <v>203</v>
      </c>
      <c r="G119" s="2">
        <v>1</v>
      </c>
      <c r="H119" s="3">
        <f t="shared" si="19"/>
        <v>8</v>
      </c>
      <c r="I119" s="5" t="str">
        <f t="shared" si="20"/>
        <v>"Haro Rioja, La" turismo</v>
      </c>
      <c r="J119" s="5" t="str">
        <f t="shared" si="21"/>
        <v>"Haro Rioja, La" opiniones viaje</v>
      </c>
      <c r="K119" s="5" t="str">
        <f t="shared" si="22"/>
        <v>"Haro Spain" travel review</v>
      </c>
      <c r="L119" s="5" t="str">
        <f t="shared" si="23"/>
        <v>"Haro Spain" things to do</v>
      </c>
      <c r="M119" s="2" t="s">
        <v>26</v>
      </c>
      <c r="N119" s="2" t="s">
        <v>27</v>
      </c>
      <c r="O119" s="6">
        <v>44927</v>
      </c>
      <c r="P119" s="2">
        <v>25</v>
      </c>
      <c r="Q119" s="2" t="s">
        <v>28</v>
      </c>
      <c r="R119" s="2">
        <v>0</v>
      </c>
      <c r="S119" s="2">
        <v>1</v>
      </c>
      <c r="T119" s="2">
        <v>30</v>
      </c>
      <c r="U119" s="7" t="s">
        <v>29</v>
      </c>
      <c r="V119" s="7" t="s">
        <v>30</v>
      </c>
      <c r="W119" s="8"/>
    </row>
    <row r="120" spans="1:23" ht="42.75" x14ac:dyDescent="0.45">
      <c r="A120" s="2">
        <v>119</v>
      </c>
      <c r="B120" s="3" t="str">
        <f t="shared" si="18"/>
        <v>ES-119</v>
      </c>
      <c r="C120" s="2" t="s">
        <v>205</v>
      </c>
      <c r="D120" s="2" t="s">
        <v>201</v>
      </c>
      <c r="E120" s="2" t="s">
        <v>202</v>
      </c>
      <c r="F120" s="4" t="s">
        <v>188</v>
      </c>
      <c r="G120" s="2">
        <v>2</v>
      </c>
      <c r="H120" s="3">
        <f t="shared" si="19"/>
        <v>9</v>
      </c>
      <c r="I120" s="5" t="str">
        <f t="shared" si="20"/>
        <v>"Santo Domingo de la Calzada Rioja, La" turismo</v>
      </c>
      <c r="J120" s="5" t="str">
        <f t="shared" si="21"/>
        <v>"Santo Domingo de la Calzada Rioja, La" opiniones viaje</v>
      </c>
      <c r="K120" s="5" t="str">
        <f t="shared" si="22"/>
        <v>"Santo Domingo de la Calzada Spain" travel review</v>
      </c>
      <c r="L120" s="5" t="str">
        <f t="shared" si="23"/>
        <v>"Santo Domingo de la Calzada Spain" things to do</v>
      </c>
      <c r="M120" s="2" t="s">
        <v>26</v>
      </c>
      <c r="N120" s="2" t="s">
        <v>27</v>
      </c>
      <c r="O120" s="6">
        <v>44927</v>
      </c>
      <c r="P120" s="2">
        <v>25</v>
      </c>
      <c r="Q120" s="2" t="s">
        <v>28</v>
      </c>
      <c r="R120" s="2">
        <v>0</v>
      </c>
      <c r="S120" s="2">
        <v>1</v>
      </c>
      <c r="T120" s="2">
        <v>30</v>
      </c>
      <c r="U120" s="7" t="s">
        <v>29</v>
      </c>
      <c r="V120" s="7" t="s">
        <v>30</v>
      </c>
      <c r="W120" s="8"/>
    </row>
    <row r="121" spans="1:23" ht="42.75" x14ac:dyDescent="0.45">
      <c r="A121" s="2">
        <v>120</v>
      </c>
      <c r="B121" s="3" t="str">
        <f t="shared" si="18"/>
        <v>ES-120</v>
      </c>
      <c r="C121" s="2" t="s">
        <v>206</v>
      </c>
      <c r="D121" s="2" t="s">
        <v>201</v>
      </c>
      <c r="E121" s="2" t="s">
        <v>202</v>
      </c>
      <c r="F121" s="4" t="s">
        <v>207</v>
      </c>
      <c r="G121" s="2">
        <v>2</v>
      </c>
      <c r="H121" s="3">
        <f t="shared" si="19"/>
        <v>10</v>
      </c>
      <c r="I121" s="5" t="str">
        <f t="shared" si="20"/>
        <v>"Ezcaray Rioja, La" turismo</v>
      </c>
      <c r="J121" s="5" t="str">
        <f t="shared" si="21"/>
        <v>"Ezcaray Rioja, La" opiniones viaje</v>
      </c>
      <c r="K121" s="5" t="str">
        <f t="shared" si="22"/>
        <v>"Ezcaray Spain" travel review</v>
      </c>
      <c r="L121" s="5" t="str">
        <f t="shared" si="23"/>
        <v>"Ezcaray Spain" things to do</v>
      </c>
      <c r="M121" s="2" t="s">
        <v>26</v>
      </c>
      <c r="N121" s="2" t="s">
        <v>27</v>
      </c>
      <c r="O121" s="6">
        <v>44927</v>
      </c>
      <c r="P121" s="2">
        <v>25</v>
      </c>
      <c r="Q121" s="2" t="s">
        <v>28</v>
      </c>
      <c r="R121" s="2">
        <v>0</v>
      </c>
      <c r="S121" s="2">
        <v>1</v>
      </c>
      <c r="T121" s="2">
        <v>30</v>
      </c>
      <c r="U121" s="7" t="s">
        <v>29</v>
      </c>
      <c r="V121" s="7" t="s">
        <v>30</v>
      </c>
      <c r="W121" s="8"/>
    </row>
    <row r="122" spans="1:23" ht="42.75" x14ac:dyDescent="0.45">
      <c r="A122" s="2">
        <v>121</v>
      </c>
      <c r="B122" s="3" t="str">
        <f t="shared" si="18"/>
        <v>ES-121</v>
      </c>
      <c r="C122" s="2" t="s">
        <v>208</v>
      </c>
      <c r="D122" s="2" t="s">
        <v>208</v>
      </c>
      <c r="E122" s="2" t="s">
        <v>208</v>
      </c>
      <c r="F122" s="4" t="s">
        <v>74</v>
      </c>
      <c r="G122" s="2">
        <v>2</v>
      </c>
      <c r="H122" s="3">
        <f t="shared" si="19"/>
        <v>1</v>
      </c>
      <c r="I122" s="5" t="str">
        <f t="shared" si="20"/>
        <v>"Ceuta" turismo</v>
      </c>
      <c r="J122" s="5" t="str">
        <f t="shared" si="21"/>
        <v>"Ceuta" opiniones viaje</v>
      </c>
      <c r="K122" s="5" t="str">
        <f t="shared" si="22"/>
        <v>"Ceuta Spain" travel review</v>
      </c>
      <c r="L122" s="5" t="str">
        <f t="shared" si="23"/>
        <v>"Ceuta Spain" things to do</v>
      </c>
      <c r="M122" s="2" t="s">
        <v>26</v>
      </c>
      <c r="N122" s="2" t="s">
        <v>27</v>
      </c>
      <c r="O122" s="6">
        <v>44927</v>
      </c>
      <c r="P122" s="2">
        <v>25</v>
      </c>
      <c r="Q122" s="2" t="s">
        <v>28</v>
      </c>
      <c r="R122" s="2">
        <v>0</v>
      </c>
      <c r="S122" s="2">
        <v>1</v>
      </c>
      <c r="T122" s="2">
        <v>30</v>
      </c>
      <c r="U122" s="7" t="s">
        <v>29</v>
      </c>
      <c r="V122" s="7" t="s">
        <v>30</v>
      </c>
      <c r="W122" s="8"/>
    </row>
    <row r="123" spans="1:23" ht="42.75" x14ac:dyDescent="0.45">
      <c r="A123" s="2">
        <v>122</v>
      </c>
      <c r="B123" s="3" t="str">
        <f t="shared" si="18"/>
        <v>ES-122</v>
      </c>
      <c r="C123" s="2" t="s">
        <v>209</v>
      </c>
      <c r="D123" s="2" t="s">
        <v>209</v>
      </c>
      <c r="E123" s="2" t="s">
        <v>209</v>
      </c>
      <c r="F123" s="4" t="s">
        <v>130</v>
      </c>
      <c r="G123" s="2">
        <v>2</v>
      </c>
      <c r="H123" s="3">
        <f t="shared" si="19"/>
        <v>2</v>
      </c>
      <c r="I123" s="5" t="str">
        <f t="shared" si="20"/>
        <v>"Melilla" turismo</v>
      </c>
      <c r="J123" s="5" t="str">
        <f t="shared" si="21"/>
        <v>"Melilla" opiniones viaje</v>
      </c>
      <c r="K123" s="5" t="str">
        <f t="shared" si="22"/>
        <v>"Melilla Spain" travel review</v>
      </c>
      <c r="L123" s="5" t="str">
        <f t="shared" si="23"/>
        <v>"Melilla Spain" things to do</v>
      </c>
      <c r="M123" s="2" t="s">
        <v>26</v>
      </c>
      <c r="N123" s="2" t="s">
        <v>27</v>
      </c>
      <c r="O123" s="6">
        <v>44927</v>
      </c>
      <c r="P123" s="2">
        <v>25</v>
      </c>
      <c r="Q123" s="2" t="s">
        <v>28</v>
      </c>
      <c r="R123" s="2">
        <v>0</v>
      </c>
      <c r="S123" s="2">
        <v>1</v>
      </c>
      <c r="T123" s="2">
        <v>30</v>
      </c>
      <c r="U123" s="7" t="s">
        <v>29</v>
      </c>
      <c r="V123" s="7" t="s">
        <v>30</v>
      </c>
      <c r="W123" s="8"/>
    </row>
  </sheetData>
  <conditionalFormatting sqref="G2:G123">
    <cfRule type="expression" dxfId="2" priority="2">
      <formula>G2=1</formula>
    </cfRule>
  </conditionalFormatting>
  <conditionalFormatting sqref="H2:H123">
    <cfRule type="expression" dxfId="1" priority="3">
      <formula>H2&lt;=3</formula>
    </cfRule>
  </conditionalFormatting>
  <conditionalFormatting sqref="S2:S123">
    <cfRule type="expression" dxfId="0" priority="1">
      <formula>S2=0</formula>
    </cfRule>
  </conditionalFormatting>
  <dataValidations count="2">
    <dataValidation type="whole" error="El valor debe estar entre 1 y 50." sqref="P2:P123" xr:uid="{00000000-0002-0000-0000-000006000000}">
      <formula1>1</formula1>
      <formula2>50</formula2>
    </dataValidation>
    <dataValidation type="whole" sqref="T2:T123" xr:uid="{00000000-0002-0000-0000-000007000000}">
      <formula1>1</formula1>
      <formula2>365</formula2>
    </dataValidation>
  </dataValidations>
  <hyperlinks>
    <hyperlink ref="U2" r:id="rId1" xr:uid="{00000000-0004-0000-0000-000000000000}"/>
    <hyperlink ref="V2" r:id="rId2" xr:uid="{00000000-0004-0000-0000-000001000000}"/>
    <hyperlink ref="U3" r:id="rId3" xr:uid="{00000000-0004-0000-0000-000002000000}"/>
    <hyperlink ref="V3" r:id="rId4" xr:uid="{00000000-0004-0000-0000-000003000000}"/>
    <hyperlink ref="U4" r:id="rId5" xr:uid="{00000000-0004-0000-0000-000004000000}"/>
    <hyperlink ref="V4" r:id="rId6" xr:uid="{00000000-0004-0000-0000-000005000000}"/>
    <hyperlink ref="U5" r:id="rId7" xr:uid="{00000000-0004-0000-0000-000006000000}"/>
    <hyperlink ref="V5" r:id="rId8" xr:uid="{00000000-0004-0000-0000-000007000000}"/>
    <hyperlink ref="U6" r:id="rId9" xr:uid="{00000000-0004-0000-0000-000008000000}"/>
    <hyperlink ref="V6" r:id="rId10" xr:uid="{00000000-0004-0000-0000-000009000000}"/>
    <hyperlink ref="U7" r:id="rId11" xr:uid="{00000000-0004-0000-0000-00000A000000}"/>
    <hyperlink ref="V7" r:id="rId12" xr:uid="{00000000-0004-0000-0000-00000B000000}"/>
    <hyperlink ref="U8" r:id="rId13" xr:uid="{00000000-0004-0000-0000-00000C000000}"/>
    <hyperlink ref="V8" r:id="rId14" xr:uid="{00000000-0004-0000-0000-00000D000000}"/>
    <hyperlink ref="U9" r:id="rId15" xr:uid="{00000000-0004-0000-0000-00000E000000}"/>
    <hyperlink ref="V9" r:id="rId16" xr:uid="{00000000-0004-0000-0000-00000F000000}"/>
    <hyperlink ref="U10" r:id="rId17" xr:uid="{00000000-0004-0000-0000-000010000000}"/>
    <hyperlink ref="V10" r:id="rId18" xr:uid="{00000000-0004-0000-0000-000011000000}"/>
    <hyperlink ref="U11" r:id="rId19" xr:uid="{00000000-0004-0000-0000-000012000000}"/>
    <hyperlink ref="V11" r:id="rId20" xr:uid="{00000000-0004-0000-0000-000013000000}"/>
    <hyperlink ref="U12" r:id="rId21" xr:uid="{00000000-0004-0000-0000-000014000000}"/>
    <hyperlink ref="V12" r:id="rId22" xr:uid="{00000000-0004-0000-0000-000015000000}"/>
    <hyperlink ref="U13" r:id="rId23" xr:uid="{00000000-0004-0000-0000-000016000000}"/>
    <hyperlink ref="V13" r:id="rId24" xr:uid="{00000000-0004-0000-0000-000017000000}"/>
    <hyperlink ref="U14" r:id="rId25" xr:uid="{00000000-0004-0000-0000-000018000000}"/>
    <hyperlink ref="V14" r:id="rId26" xr:uid="{00000000-0004-0000-0000-000019000000}"/>
    <hyperlink ref="U15" r:id="rId27" xr:uid="{00000000-0004-0000-0000-00001A000000}"/>
    <hyperlink ref="V15" r:id="rId28" xr:uid="{00000000-0004-0000-0000-00001B000000}"/>
    <hyperlink ref="U16" r:id="rId29" xr:uid="{00000000-0004-0000-0000-00001C000000}"/>
    <hyperlink ref="V16" r:id="rId30" xr:uid="{00000000-0004-0000-0000-00001D000000}"/>
    <hyperlink ref="U17" r:id="rId31" xr:uid="{00000000-0004-0000-0000-00001E000000}"/>
    <hyperlink ref="V17" r:id="rId32" xr:uid="{00000000-0004-0000-0000-00001F000000}"/>
    <hyperlink ref="U18" r:id="rId33" xr:uid="{00000000-0004-0000-0000-000020000000}"/>
    <hyperlink ref="V18" r:id="rId34" xr:uid="{00000000-0004-0000-0000-000021000000}"/>
    <hyperlink ref="U19" r:id="rId35" xr:uid="{00000000-0004-0000-0000-000022000000}"/>
    <hyperlink ref="V19" r:id="rId36" xr:uid="{00000000-0004-0000-0000-000023000000}"/>
    <hyperlink ref="U20" r:id="rId37" xr:uid="{00000000-0004-0000-0000-000024000000}"/>
    <hyperlink ref="V20" r:id="rId38" xr:uid="{00000000-0004-0000-0000-000025000000}"/>
    <hyperlink ref="U21" r:id="rId39" xr:uid="{00000000-0004-0000-0000-000026000000}"/>
    <hyperlink ref="V21" r:id="rId40" xr:uid="{00000000-0004-0000-0000-000027000000}"/>
    <hyperlink ref="U22" r:id="rId41" xr:uid="{00000000-0004-0000-0000-000028000000}"/>
    <hyperlink ref="V22" r:id="rId42" xr:uid="{00000000-0004-0000-0000-000029000000}"/>
    <hyperlink ref="U23" r:id="rId43" xr:uid="{00000000-0004-0000-0000-00002A000000}"/>
    <hyperlink ref="V23" r:id="rId44" xr:uid="{00000000-0004-0000-0000-00002B000000}"/>
    <hyperlink ref="U24" r:id="rId45" xr:uid="{00000000-0004-0000-0000-00002C000000}"/>
    <hyperlink ref="V24" r:id="rId46" xr:uid="{00000000-0004-0000-0000-00002D000000}"/>
    <hyperlink ref="U25" r:id="rId47" xr:uid="{00000000-0004-0000-0000-00002E000000}"/>
    <hyperlink ref="V25" r:id="rId48" xr:uid="{00000000-0004-0000-0000-00002F000000}"/>
    <hyperlink ref="U26" r:id="rId49" xr:uid="{00000000-0004-0000-0000-000030000000}"/>
    <hyperlink ref="V26" r:id="rId50" xr:uid="{00000000-0004-0000-0000-000031000000}"/>
    <hyperlink ref="U27" r:id="rId51" xr:uid="{00000000-0004-0000-0000-000032000000}"/>
    <hyperlink ref="V27" r:id="rId52" xr:uid="{00000000-0004-0000-0000-000033000000}"/>
    <hyperlink ref="U28" r:id="rId53" xr:uid="{00000000-0004-0000-0000-000034000000}"/>
    <hyperlink ref="V28" r:id="rId54" xr:uid="{00000000-0004-0000-0000-000035000000}"/>
    <hyperlink ref="U29" r:id="rId55" xr:uid="{00000000-0004-0000-0000-000036000000}"/>
    <hyperlink ref="V29" r:id="rId56" xr:uid="{00000000-0004-0000-0000-000037000000}"/>
    <hyperlink ref="U30" r:id="rId57" xr:uid="{00000000-0004-0000-0000-000038000000}"/>
    <hyperlink ref="V30" r:id="rId58" xr:uid="{00000000-0004-0000-0000-000039000000}"/>
    <hyperlink ref="U31" r:id="rId59" xr:uid="{00000000-0004-0000-0000-00003A000000}"/>
    <hyperlink ref="V31" r:id="rId60" xr:uid="{00000000-0004-0000-0000-00003B000000}"/>
    <hyperlink ref="U32" r:id="rId61" xr:uid="{00000000-0004-0000-0000-00003C000000}"/>
    <hyperlink ref="V32" r:id="rId62" xr:uid="{00000000-0004-0000-0000-00003D000000}"/>
    <hyperlink ref="U33" r:id="rId63" xr:uid="{00000000-0004-0000-0000-00003E000000}"/>
    <hyperlink ref="V33" r:id="rId64" xr:uid="{00000000-0004-0000-0000-00003F000000}"/>
    <hyperlink ref="U34" r:id="rId65" xr:uid="{00000000-0004-0000-0000-000040000000}"/>
    <hyperlink ref="V34" r:id="rId66" xr:uid="{00000000-0004-0000-0000-000041000000}"/>
    <hyperlink ref="U35" r:id="rId67" xr:uid="{00000000-0004-0000-0000-000042000000}"/>
    <hyperlink ref="V35" r:id="rId68" xr:uid="{00000000-0004-0000-0000-000043000000}"/>
    <hyperlink ref="U36" r:id="rId69" xr:uid="{00000000-0004-0000-0000-000044000000}"/>
    <hyperlink ref="V36" r:id="rId70" xr:uid="{00000000-0004-0000-0000-000045000000}"/>
    <hyperlink ref="U37" r:id="rId71" xr:uid="{00000000-0004-0000-0000-000046000000}"/>
    <hyperlink ref="V37" r:id="rId72" xr:uid="{00000000-0004-0000-0000-000047000000}"/>
    <hyperlink ref="U38" r:id="rId73" xr:uid="{00000000-0004-0000-0000-000048000000}"/>
    <hyperlink ref="V38" r:id="rId74" xr:uid="{00000000-0004-0000-0000-000049000000}"/>
    <hyperlink ref="U39" r:id="rId75" xr:uid="{00000000-0004-0000-0000-00004A000000}"/>
    <hyperlink ref="V39" r:id="rId76" xr:uid="{00000000-0004-0000-0000-00004B000000}"/>
    <hyperlink ref="U40" r:id="rId77" xr:uid="{00000000-0004-0000-0000-00004C000000}"/>
    <hyperlink ref="V40" r:id="rId78" xr:uid="{00000000-0004-0000-0000-00004D000000}"/>
    <hyperlink ref="U41" r:id="rId79" xr:uid="{00000000-0004-0000-0000-00004E000000}"/>
    <hyperlink ref="V41" r:id="rId80" xr:uid="{00000000-0004-0000-0000-00004F000000}"/>
    <hyperlink ref="U42" r:id="rId81" xr:uid="{00000000-0004-0000-0000-000050000000}"/>
    <hyperlink ref="V42" r:id="rId82" xr:uid="{00000000-0004-0000-0000-000051000000}"/>
    <hyperlink ref="U43" r:id="rId83" xr:uid="{00000000-0004-0000-0000-000052000000}"/>
    <hyperlink ref="V43" r:id="rId84" xr:uid="{00000000-0004-0000-0000-000053000000}"/>
    <hyperlink ref="U44" r:id="rId85" xr:uid="{00000000-0004-0000-0000-000054000000}"/>
    <hyperlink ref="V44" r:id="rId86" xr:uid="{00000000-0004-0000-0000-000055000000}"/>
    <hyperlink ref="U45" r:id="rId87" xr:uid="{00000000-0004-0000-0000-000056000000}"/>
    <hyperlink ref="V45" r:id="rId88" xr:uid="{00000000-0004-0000-0000-000057000000}"/>
    <hyperlink ref="U46" r:id="rId89" xr:uid="{00000000-0004-0000-0000-000058000000}"/>
    <hyperlink ref="V46" r:id="rId90" xr:uid="{00000000-0004-0000-0000-000059000000}"/>
    <hyperlink ref="U47" r:id="rId91" xr:uid="{00000000-0004-0000-0000-00005A000000}"/>
    <hyperlink ref="V47" r:id="rId92" xr:uid="{00000000-0004-0000-0000-00005B000000}"/>
    <hyperlink ref="U48" r:id="rId93" xr:uid="{00000000-0004-0000-0000-00005C000000}"/>
    <hyperlink ref="V48" r:id="rId94" xr:uid="{00000000-0004-0000-0000-00005D000000}"/>
    <hyperlink ref="U49" r:id="rId95" xr:uid="{00000000-0004-0000-0000-00005E000000}"/>
    <hyperlink ref="V49" r:id="rId96" xr:uid="{00000000-0004-0000-0000-00005F000000}"/>
    <hyperlink ref="U50" r:id="rId97" xr:uid="{00000000-0004-0000-0000-000060000000}"/>
    <hyperlink ref="V50" r:id="rId98" xr:uid="{00000000-0004-0000-0000-000061000000}"/>
    <hyperlink ref="U51" r:id="rId99" xr:uid="{00000000-0004-0000-0000-000062000000}"/>
    <hyperlink ref="V51" r:id="rId100" xr:uid="{00000000-0004-0000-0000-000063000000}"/>
    <hyperlink ref="U52" r:id="rId101" xr:uid="{00000000-0004-0000-0000-000064000000}"/>
    <hyperlink ref="V52" r:id="rId102" xr:uid="{00000000-0004-0000-0000-000065000000}"/>
    <hyperlink ref="U53" r:id="rId103" xr:uid="{00000000-0004-0000-0000-000066000000}"/>
    <hyperlink ref="V53" r:id="rId104" xr:uid="{00000000-0004-0000-0000-000067000000}"/>
    <hyperlink ref="U54" r:id="rId105" xr:uid="{00000000-0004-0000-0000-000068000000}"/>
    <hyperlink ref="V54" r:id="rId106" xr:uid="{00000000-0004-0000-0000-000069000000}"/>
    <hyperlink ref="U55" r:id="rId107" xr:uid="{00000000-0004-0000-0000-00006A000000}"/>
    <hyperlink ref="V55" r:id="rId108" xr:uid="{00000000-0004-0000-0000-00006B000000}"/>
    <hyperlink ref="U56" r:id="rId109" xr:uid="{00000000-0004-0000-0000-00006C000000}"/>
    <hyperlink ref="V56" r:id="rId110" xr:uid="{00000000-0004-0000-0000-00006D000000}"/>
    <hyperlink ref="U57" r:id="rId111" xr:uid="{00000000-0004-0000-0000-00006E000000}"/>
    <hyperlink ref="V57" r:id="rId112" xr:uid="{00000000-0004-0000-0000-00006F000000}"/>
    <hyperlink ref="U58" r:id="rId113" xr:uid="{00000000-0004-0000-0000-000070000000}"/>
    <hyperlink ref="V58" r:id="rId114" xr:uid="{00000000-0004-0000-0000-000071000000}"/>
    <hyperlink ref="U59" r:id="rId115" xr:uid="{00000000-0004-0000-0000-000072000000}"/>
    <hyperlink ref="V59" r:id="rId116" xr:uid="{00000000-0004-0000-0000-000073000000}"/>
    <hyperlink ref="U60" r:id="rId117" xr:uid="{00000000-0004-0000-0000-000074000000}"/>
    <hyperlink ref="V60" r:id="rId118" xr:uid="{00000000-0004-0000-0000-000075000000}"/>
    <hyperlink ref="U61" r:id="rId119" xr:uid="{00000000-0004-0000-0000-000076000000}"/>
    <hyperlink ref="V61" r:id="rId120" xr:uid="{00000000-0004-0000-0000-000077000000}"/>
    <hyperlink ref="U62" r:id="rId121" xr:uid="{00000000-0004-0000-0000-000078000000}"/>
    <hyperlink ref="V62" r:id="rId122" xr:uid="{00000000-0004-0000-0000-000079000000}"/>
    <hyperlink ref="U63" r:id="rId123" xr:uid="{00000000-0004-0000-0000-00007A000000}"/>
    <hyperlink ref="V63" r:id="rId124" xr:uid="{00000000-0004-0000-0000-00007B000000}"/>
    <hyperlink ref="U64" r:id="rId125" xr:uid="{00000000-0004-0000-0000-00007C000000}"/>
    <hyperlink ref="V64" r:id="rId126" xr:uid="{00000000-0004-0000-0000-00007D000000}"/>
    <hyperlink ref="U65" r:id="rId127" xr:uid="{00000000-0004-0000-0000-00007E000000}"/>
    <hyperlink ref="V65" r:id="rId128" xr:uid="{00000000-0004-0000-0000-00007F000000}"/>
    <hyperlink ref="U66" r:id="rId129" xr:uid="{00000000-0004-0000-0000-000080000000}"/>
    <hyperlink ref="V66" r:id="rId130" xr:uid="{00000000-0004-0000-0000-000081000000}"/>
    <hyperlink ref="U67" r:id="rId131" xr:uid="{00000000-0004-0000-0000-000082000000}"/>
    <hyperlink ref="V67" r:id="rId132" xr:uid="{00000000-0004-0000-0000-000083000000}"/>
    <hyperlink ref="U68" r:id="rId133" xr:uid="{00000000-0004-0000-0000-000084000000}"/>
    <hyperlink ref="V68" r:id="rId134" xr:uid="{00000000-0004-0000-0000-000085000000}"/>
    <hyperlink ref="U69" r:id="rId135" xr:uid="{00000000-0004-0000-0000-000086000000}"/>
    <hyperlink ref="V69" r:id="rId136" xr:uid="{00000000-0004-0000-0000-000087000000}"/>
    <hyperlink ref="U70" r:id="rId137" xr:uid="{00000000-0004-0000-0000-000088000000}"/>
    <hyperlink ref="V70" r:id="rId138" xr:uid="{00000000-0004-0000-0000-000089000000}"/>
    <hyperlink ref="U71" r:id="rId139" xr:uid="{00000000-0004-0000-0000-00008A000000}"/>
    <hyperlink ref="V71" r:id="rId140" xr:uid="{00000000-0004-0000-0000-00008B000000}"/>
    <hyperlink ref="U72" r:id="rId141" xr:uid="{00000000-0004-0000-0000-00008C000000}"/>
    <hyperlink ref="V72" r:id="rId142" xr:uid="{00000000-0004-0000-0000-00008D000000}"/>
    <hyperlink ref="U73" r:id="rId143" xr:uid="{00000000-0004-0000-0000-00008E000000}"/>
    <hyperlink ref="V73" r:id="rId144" xr:uid="{00000000-0004-0000-0000-00008F000000}"/>
    <hyperlink ref="U74" r:id="rId145" xr:uid="{00000000-0004-0000-0000-000090000000}"/>
    <hyperlink ref="V74" r:id="rId146" xr:uid="{00000000-0004-0000-0000-000091000000}"/>
    <hyperlink ref="U75" r:id="rId147" xr:uid="{00000000-0004-0000-0000-000092000000}"/>
    <hyperlink ref="V75" r:id="rId148" xr:uid="{00000000-0004-0000-0000-000093000000}"/>
    <hyperlink ref="U76" r:id="rId149" xr:uid="{00000000-0004-0000-0000-000094000000}"/>
    <hyperlink ref="V76" r:id="rId150" xr:uid="{00000000-0004-0000-0000-000095000000}"/>
    <hyperlink ref="U77" r:id="rId151" xr:uid="{00000000-0004-0000-0000-000096000000}"/>
    <hyperlink ref="V77" r:id="rId152" xr:uid="{00000000-0004-0000-0000-000097000000}"/>
    <hyperlink ref="U78" r:id="rId153" xr:uid="{00000000-0004-0000-0000-000098000000}"/>
    <hyperlink ref="V78" r:id="rId154" xr:uid="{00000000-0004-0000-0000-000099000000}"/>
    <hyperlink ref="U79" r:id="rId155" xr:uid="{00000000-0004-0000-0000-00009A000000}"/>
    <hyperlink ref="V79" r:id="rId156" xr:uid="{00000000-0004-0000-0000-00009B000000}"/>
    <hyperlink ref="U80" r:id="rId157" xr:uid="{00000000-0004-0000-0000-00009C000000}"/>
    <hyperlink ref="V80" r:id="rId158" xr:uid="{00000000-0004-0000-0000-00009D000000}"/>
    <hyperlink ref="U81" r:id="rId159" xr:uid="{00000000-0004-0000-0000-00009E000000}"/>
    <hyperlink ref="V81" r:id="rId160" xr:uid="{00000000-0004-0000-0000-00009F000000}"/>
    <hyperlink ref="U82" r:id="rId161" xr:uid="{00000000-0004-0000-0000-0000A0000000}"/>
    <hyperlink ref="V82" r:id="rId162" xr:uid="{00000000-0004-0000-0000-0000A1000000}"/>
    <hyperlink ref="U83" r:id="rId163" xr:uid="{00000000-0004-0000-0000-0000A2000000}"/>
    <hyperlink ref="V83" r:id="rId164" xr:uid="{00000000-0004-0000-0000-0000A3000000}"/>
    <hyperlink ref="U84" r:id="rId165" xr:uid="{00000000-0004-0000-0000-0000A4000000}"/>
    <hyperlink ref="V84" r:id="rId166" xr:uid="{00000000-0004-0000-0000-0000A5000000}"/>
    <hyperlink ref="U85" r:id="rId167" xr:uid="{00000000-0004-0000-0000-0000A6000000}"/>
    <hyperlink ref="V85" r:id="rId168" xr:uid="{00000000-0004-0000-0000-0000A7000000}"/>
    <hyperlink ref="U86" r:id="rId169" xr:uid="{00000000-0004-0000-0000-0000A8000000}"/>
    <hyperlink ref="V86" r:id="rId170" xr:uid="{00000000-0004-0000-0000-0000A9000000}"/>
    <hyperlink ref="U87" r:id="rId171" xr:uid="{00000000-0004-0000-0000-0000AA000000}"/>
    <hyperlink ref="V87" r:id="rId172" xr:uid="{00000000-0004-0000-0000-0000AB000000}"/>
    <hyperlink ref="U88" r:id="rId173" xr:uid="{00000000-0004-0000-0000-0000AC000000}"/>
    <hyperlink ref="V88" r:id="rId174" xr:uid="{00000000-0004-0000-0000-0000AD000000}"/>
    <hyperlink ref="U89" r:id="rId175" xr:uid="{00000000-0004-0000-0000-0000AE000000}"/>
    <hyperlink ref="V89" r:id="rId176" xr:uid="{00000000-0004-0000-0000-0000AF000000}"/>
    <hyperlink ref="U90" r:id="rId177" xr:uid="{00000000-0004-0000-0000-0000B0000000}"/>
    <hyperlink ref="V90" r:id="rId178" xr:uid="{00000000-0004-0000-0000-0000B1000000}"/>
    <hyperlink ref="U91" r:id="rId179" xr:uid="{00000000-0004-0000-0000-0000B2000000}"/>
    <hyperlink ref="V91" r:id="rId180" xr:uid="{00000000-0004-0000-0000-0000B3000000}"/>
    <hyperlink ref="U92" r:id="rId181" xr:uid="{00000000-0004-0000-0000-0000B4000000}"/>
    <hyperlink ref="V92" r:id="rId182" xr:uid="{00000000-0004-0000-0000-0000B5000000}"/>
    <hyperlink ref="U93" r:id="rId183" xr:uid="{00000000-0004-0000-0000-0000B6000000}"/>
    <hyperlink ref="V93" r:id="rId184" xr:uid="{00000000-0004-0000-0000-0000B7000000}"/>
    <hyperlink ref="U94" r:id="rId185" xr:uid="{00000000-0004-0000-0000-0000B8000000}"/>
    <hyperlink ref="V94" r:id="rId186" xr:uid="{00000000-0004-0000-0000-0000B9000000}"/>
    <hyperlink ref="U95" r:id="rId187" xr:uid="{00000000-0004-0000-0000-0000BA000000}"/>
    <hyperlink ref="V95" r:id="rId188" xr:uid="{00000000-0004-0000-0000-0000BB000000}"/>
    <hyperlink ref="U96" r:id="rId189" xr:uid="{00000000-0004-0000-0000-0000BC000000}"/>
    <hyperlink ref="V96" r:id="rId190" xr:uid="{00000000-0004-0000-0000-0000BD000000}"/>
    <hyperlink ref="U97" r:id="rId191" xr:uid="{00000000-0004-0000-0000-0000BE000000}"/>
    <hyperlink ref="V97" r:id="rId192" xr:uid="{00000000-0004-0000-0000-0000BF000000}"/>
    <hyperlink ref="U98" r:id="rId193" xr:uid="{00000000-0004-0000-0000-0000C0000000}"/>
    <hyperlink ref="V98" r:id="rId194" xr:uid="{00000000-0004-0000-0000-0000C1000000}"/>
    <hyperlink ref="U99" r:id="rId195" xr:uid="{00000000-0004-0000-0000-0000C2000000}"/>
    <hyperlink ref="V99" r:id="rId196" xr:uid="{00000000-0004-0000-0000-0000C3000000}"/>
    <hyperlink ref="U100" r:id="rId197" xr:uid="{00000000-0004-0000-0000-0000C4000000}"/>
    <hyperlink ref="V100" r:id="rId198" xr:uid="{00000000-0004-0000-0000-0000C5000000}"/>
    <hyperlink ref="U101" r:id="rId199" xr:uid="{00000000-0004-0000-0000-0000C6000000}"/>
    <hyperlink ref="V101" r:id="rId200" xr:uid="{00000000-0004-0000-0000-0000C7000000}"/>
    <hyperlink ref="U102" r:id="rId201" xr:uid="{00000000-0004-0000-0000-0000C8000000}"/>
    <hyperlink ref="V102" r:id="rId202" xr:uid="{00000000-0004-0000-0000-0000C9000000}"/>
    <hyperlink ref="U103" r:id="rId203" xr:uid="{00000000-0004-0000-0000-0000CA000000}"/>
    <hyperlink ref="V103" r:id="rId204" xr:uid="{00000000-0004-0000-0000-0000CB000000}"/>
    <hyperlink ref="U104" r:id="rId205" xr:uid="{00000000-0004-0000-0000-0000CC000000}"/>
    <hyperlink ref="V104" r:id="rId206" xr:uid="{00000000-0004-0000-0000-0000CD000000}"/>
    <hyperlink ref="U105" r:id="rId207" xr:uid="{00000000-0004-0000-0000-0000CE000000}"/>
    <hyperlink ref="V105" r:id="rId208" xr:uid="{00000000-0004-0000-0000-0000CF000000}"/>
    <hyperlink ref="U106" r:id="rId209" xr:uid="{00000000-0004-0000-0000-0000D0000000}"/>
    <hyperlink ref="V106" r:id="rId210" xr:uid="{00000000-0004-0000-0000-0000D1000000}"/>
    <hyperlink ref="U107" r:id="rId211" xr:uid="{00000000-0004-0000-0000-0000D2000000}"/>
    <hyperlink ref="V107" r:id="rId212" xr:uid="{00000000-0004-0000-0000-0000D3000000}"/>
    <hyperlink ref="U108" r:id="rId213" xr:uid="{00000000-0004-0000-0000-0000D4000000}"/>
    <hyperlink ref="V108" r:id="rId214" xr:uid="{00000000-0004-0000-0000-0000D5000000}"/>
    <hyperlink ref="U109" r:id="rId215" xr:uid="{00000000-0004-0000-0000-0000D6000000}"/>
    <hyperlink ref="V109" r:id="rId216" xr:uid="{00000000-0004-0000-0000-0000D7000000}"/>
    <hyperlink ref="U110" r:id="rId217" xr:uid="{00000000-0004-0000-0000-0000D8000000}"/>
    <hyperlink ref="V110" r:id="rId218" xr:uid="{00000000-0004-0000-0000-0000D9000000}"/>
    <hyperlink ref="U111" r:id="rId219" xr:uid="{00000000-0004-0000-0000-0000DA000000}"/>
    <hyperlink ref="V111" r:id="rId220" xr:uid="{00000000-0004-0000-0000-0000DB000000}"/>
    <hyperlink ref="U112" r:id="rId221" xr:uid="{00000000-0004-0000-0000-0000DC000000}"/>
    <hyperlink ref="V112" r:id="rId222" xr:uid="{00000000-0004-0000-0000-0000DD000000}"/>
    <hyperlink ref="U113" r:id="rId223" xr:uid="{00000000-0004-0000-0000-0000DE000000}"/>
    <hyperlink ref="V113" r:id="rId224" xr:uid="{00000000-0004-0000-0000-0000DF000000}"/>
    <hyperlink ref="U114" r:id="rId225" xr:uid="{00000000-0004-0000-0000-0000E0000000}"/>
    <hyperlink ref="V114" r:id="rId226" xr:uid="{00000000-0004-0000-0000-0000E1000000}"/>
    <hyperlink ref="U115" r:id="rId227" xr:uid="{00000000-0004-0000-0000-0000E2000000}"/>
    <hyperlink ref="V115" r:id="rId228" xr:uid="{00000000-0004-0000-0000-0000E3000000}"/>
    <hyperlink ref="U116" r:id="rId229" xr:uid="{00000000-0004-0000-0000-0000E4000000}"/>
    <hyperlink ref="V116" r:id="rId230" xr:uid="{00000000-0004-0000-0000-0000E5000000}"/>
    <hyperlink ref="U117" r:id="rId231" xr:uid="{00000000-0004-0000-0000-0000E6000000}"/>
    <hyperlink ref="V117" r:id="rId232" xr:uid="{00000000-0004-0000-0000-0000E7000000}"/>
    <hyperlink ref="U118" r:id="rId233" xr:uid="{00000000-0004-0000-0000-0000E8000000}"/>
    <hyperlink ref="V118" r:id="rId234" xr:uid="{00000000-0004-0000-0000-0000E9000000}"/>
    <hyperlink ref="U119" r:id="rId235" xr:uid="{00000000-0004-0000-0000-0000EA000000}"/>
    <hyperlink ref="V119" r:id="rId236" xr:uid="{00000000-0004-0000-0000-0000EB000000}"/>
    <hyperlink ref="U120" r:id="rId237" xr:uid="{00000000-0004-0000-0000-0000EC000000}"/>
    <hyperlink ref="V120" r:id="rId238" xr:uid="{00000000-0004-0000-0000-0000ED000000}"/>
    <hyperlink ref="U121" r:id="rId239" xr:uid="{00000000-0004-0000-0000-0000EE000000}"/>
    <hyperlink ref="V121" r:id="rId240" xr:uid="{00000000-0004-0000-0000-0000EF000000}"/>
    <hyperlink ref="U122" r:id="rId241" xr:uid="{00000000-0004-0000-0000-0000F0000000}"/>
    <hyperlink ref="V122" r:id="rId242" xr:uid="{00000000-0004-0000-0000-0000F1000000}"/>
    <hyperlink ref="U123" r:id="rId243" xr:uid="{00000000-0004-0000-0000-0000F2000000}"/>
    <hyperlink ref="V123" r:id="rId244" xr:uid="{00000000-0004-0000-0000-0000F3000000}"/>
  </hyperlinks>
  <pageMargins left="0.75" right="0.75" top="1" bottom="1" header="0.5" footer="0.5"/>
  <legacyDrawing r:id="rId245"/>
  <tableParts count="1">
    <tablePart r:id="rId246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Listas!$A$2:$A$30</xm:f>
          </x14:formula1>
          <xm:sqref>F2:F123</xm:sqref>
        </x14:dataValidation>
        <x14:dataValidation type="list" xr:uid="{00000000-0002-0000-0000-000001000000}">
          <x14:formula1>
            <xm:f>Listas!$B$2:$B$4</xm:f>
          </x14:formula1>
          <xm:sqref>G2:G123</xm:sqref>
        </x14:dataValidation>
        <x14:dataValidation type="list" xr:uid="{00000000-0002-0000-0000-000002000000}">
          <x14:formula1>
            <xm:f>Listas!$C$2:$C$4</xm:f>
          </x14:formula1>
          <xm:sqref>Q2:Q123</xm:sqref>
        </x14:dataValidation>
        <x14:dataValidation type="list" xr:uid="{00000000-0002-0000-0000-000003000000}">
          <x14:formula1>
            <xm:f>Listas!$D$2:$D$3</xm:f>
          </x14:formula1>
          <xm:sqref>R2:S123</xm:sqref>
        </x14:dataValidation>
        <x14:dataValidation type="list" xr:uid="{00000000-0002-0000-0000-000005000000}">
          <x14:formula1>
            <xm:f>Listas!$E$2:$E$3</xm:f>
          </x14:formula1>
          <xm:sqref>N2:N123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210</v>
      </c>
      <c r="B1" t="s">
        <v>211</v>
      </c>
      <c r="C1" t="s">
        <v>212</v>
      </c>
      <c r="D1" t="s">
        <v>213</v>
      </c>
      <c r="E1" t="s">
        <v>214</v>
      </c>
    </row>
    <row r="2" spans="1:5" x14ac:dyDescent="0.45">
      <c r="A2" t="s">
        <v>25</v>
      </c>
      <c r="B2">
        <v>1</v>
      </c>
      <c r="C2" t="s">
        <v>28</v>
      </c>
      <c r="D2">
        <v>0</v>
      </c>
      <c r="E2" t="s">
        <v>27</v>
      </c>
    </row>
    <row r="3" spans="1:5" x14ac:dyDescent="0.45">
      <c r="A3" t="s">
        <v>32</v>
      </c>
      <c r="B3">
        <v>2</v>
      </c>
      <c r="C3" t="s">
        <v>215</v>
      </c>
      <c r="D3">
        <v>1</v>
      </c>
      <c r="E3" t="s">
        <v>216</v>
      </c>
    </row>
    <row r="4" spans="1:5" x14ac:dyDescent="0.45">
      <c r="A4" t="s">
        <v>35</v>
      </c>
      <c r="B4">
        <v>3</v>
      </c>
      <c r="C4" t="s">
        <v>217</v>
      </c>
    </row>
    <row r="5" spans="1:5" x14ac:dyDescent="0.45">
      <c r="A5" t="s">
        <v>37</v>
      </c>
    </row>
    <row r="6" spans="1:5" x14ac:dyDescent="0.45">
      <c r="A6" t="s">
        <v>39</v>
      </c>
    </row>
    <row r="7" spans="1:5" x14ac:dyDescent="0.45">
      <c r="A7" t="s">
        <v>41</v>
      </c>
    </row>
    <row r="8" spans="1:5" x14ac:dyDescent="0.45">
      <c r="A8" t="s">
        <v>43</v>
      </c>
    </row>
    <row r="9" spans="1:5" x14ac:dyDescent="0.45">
      <c r="A9" t="s">
        <v>46</v>
      </c>
    </row>
    <row r="10" spans="1:5" x14ac:dyDescent="0.45">
      <c r="A10" t="s">
        <v>48</v>
      </c>
    </row>
    <row r="11" spans="1:5" x14ac:dyDescent="0.45">
      <c r="A11" t="s">
        <v>55</v>
      </c>
    </row>
    <row r="12" spans="1:5" x14ac:dyDescent="0.45">
      <c r="A12" t="s">
        <v>58</v>
      </c>
    </row>
    <row r="13" spans="1:5" x14ac:dyDescent="0.45">
      <c r="A13" t="s">
        <v>60</v>
      </c>
    </row>
    <row r="14" spans="1:5" x14ac:dyDescent="0.45">
      <c r="A14" t="s">
        <v>74</v>
      </c>
    </row>
    <row r="15" spans="1:5" x14ac:dyDescent="0.45">
      <c r="A15" t="s">
        <v>80</v>
      </c>
    </row>
    <row r="16" spans="1:5" x14ac:dyDescent="0.45">
      <c r="A16" t="s">
        <v>88</v>
      </c>
    </row>
    <row r="17" spans="1:1" x14ac:dyDescent="0.45">
      <c r="A17" t="s">
        <v>102</v>
      </c>
    </row>
    <row r="18" spans="1:1" x14ac:dyDescent="0.45">
      <c r="A18" t="s">
        <v>66</v>
      </c>
    </row>
    <row r="19" spans="1:1" x14ac:dyDescent="0.45">
      <c r="A19" t="s">
        <v>127</v>
      </c>
    </row>
    <row r="20" spans="1:1" x14ac:dyDescent="0.45">
      <c r="A20" t="s">
        <v>130</v>
      </c>
    </row>
    <row r="21" spans="1:1" x14ac:dyDescent="0.45">
      <c r="A21" t="s">
        <v>133</v>
      </c>
    </row>
    <row r="22" spans="1:1" x14ac:dyDescent="0.45">
      <c r="A22" t="s">
        <v>148</v>
      </c>
    </row>
    <row r="23" spans="1:1" x14ac:dyDescent="0.45">
      <c r="A23" t="s">
        <v>172</v>
      </c>
    </row>
    <row r="24" spans="1:1" x14ac:dyDescent="0.45">
      <c r="A24" t="s">
        <v>157</v>
      </c>
    </row>
    <row r="25" spans="1:1" x14ac:dyDescent="0.45">
      <c r="A25" t="s">
        <v>165</v>
      </c>
    </row>
    <row r="26" spans="1:1" x14ac:dyDescent="0.45">
      <c r="A26" t="s">
        <v>118</v>
      </c>
    </row>
    <row r="27" spans="1:1" x14ac:dyDescent="0.45">
      <c r="A27" t="s">
        <v>188</v>
      </c>
    </row>
    <row r="28" spans="1:1" x14ac:dyDescent="0.45">
      <c r="A28" t="s">
        <v>186</v>
      </c>
    </row>
    <row r="29" spans="1:1" x14ac:dyDescent="0.45">
      <c r="A29" t="s">
        <v>203</v>
      </c>
    </row>
    <row r="30" spans="1:1" x14ac:dyDescent="0.45">
      <c r="A30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showGridLines="0" workbookViewId="0">
      <pane ySplit="11" topLeftCell="A12" activePane="bottomLeft" state="frozen"/>
      <selection pane="bottomLeft"/>
    </sheetView>
  </sheetViews>
  <sheetFormatPr baseColWidth="10" defaultColWidth="9.06640625" defaultRowHeight="14.25" x14ac:dyDescent="0.45"/>
  <cols>
    <col min="1" max="1" width="34" customWidth="1"/>
    <col min="2" max="2" width="18" customWidth="1"/>
    <col min="3" max="3" width="14" customWidth="1"/>
    <col min="4" max="4" width="18" customWidth="1"/>
  </cols>
  <sheetData>
    <row r="1" spans="1:4" ht="21" x14ac:dyDescent="0.65">
      <c r="A1" s="16" t="s">
        <v>218</v>
      </c>
      <c r="B1" s="17"/>
      <c r="C1" s="17"/>
      <c r="D1" s="17"/>
    </row>
    <row r="3" spans="1:4" x14ac:dyDescent="0.45">
      <c r="A3" s="9" t="s">
        <v>219</v>
      </c>
      <c r="B3" s="9" t="s">
        <v>220</v>
      </c>
      <c r="C3" s="10"/>
      <c r="D3" s="10"/>
    </row>
    <row r="4" spans="1:4" x14ac:dyDescent="0.45">
      <c r="A4" s="10" t="s">
        <v>221</v>
      </c>
      <c r="B4" s="10">
        <f>COUNTA(Lugares!C2:C123)</f>
        <v>122</v>
      </c>
      <c r="C4" s="10"/>
      <c r="D4" s="10"/>
    </row>
    <row r="5" spans="1:4" x14ac:dyDescent="0.45">
      <c r="A5" s="10" t="s">
        <v>222</v>
      </c>
      <c r="B5" s="10">
        <f>COUNTIF(Lugares!S2:S123,1)</f>
        <v>122</v>
      </c>
      <c r="C5" s="10"/>
      <c r="D5" s="10"/>
    </row>
    <row r="6" spans="1:4" x14ac:dyDescent="0.45">
      <c r="A6" s="10" t="s">
        <v>223</v>
      </c>
      <c r="B6" s="11">
        <v>4</v>
      </c>
      <c r="C6" s="10"/>
      <c r="D6" s="10"/>
    </row>
    <row r="7" spans="1:4" ht="28.5" x14ac:dyDescent="0.45">
      <c r="A7" s="10" t="s">
        <v>224</v>
      </c>
      <c r="B7" s="10">
        <f>B5*B6</f>
        <v>488</v>
      </c>
      <c r="C7" s="10"/>
      <c r="D7" s="10"/>
    </row>
    <row r="8" spans="1:4" x14ac:dyDescent="0.45">
      <c r="A8" s="10" t="s">
        <v>225</v>
      </c>
      <c r="B8" s="10">
        <f>SUMIF(Lugares!S2:S123,1,Lugares!P2:P123)*B6</f>
        <v>12200</v>
      </c>
      <c r="C8" s="10"/>
      <c r="D8" s="10"/>
    </row>
    <row r="9" spans="1:4" x14ac:dyDescent="0.45">
      <c r="A9" s="10" t="s">
        <v>226</v>
      </c>
      <c r="B9" s="11">
        <v>10</v>
      </c>
      <c r="C9" s="10"/>
      <c r="D9" s="10"/>
    </row>
    <row r="10" spans="1:4" x14ac:dyDescent="0.45">
      <c r="A10" s="10"/>
      <c r="B10" s="10"/>
      <c r="C10" s="10"/>
      <c r="D10" s="10"/>
    </row>
    <row r="11" spans="1:4" x14ac:dyDescent="0.45">
      <c r="A11" s="10"/>
      <c r="B11" s="10"/>
      <c r="C11" s="10"/>
      <c r="D11" s="10"/>
    </row>
    <row r="12" spans="1:4" x14ac:dyDescent="0.45">
      <c r="A12" s="9" t="s">
        <v>227</v>
      </c>
      <c r="B12" s="9" t="s">
        <v>228</v>
      </c>
      <c r="C12" s="9" t="s">
        <v>229</v>
      </c>
      <c r="D12" s="9" t="s">
        <v>230</v>
      </c>
    </row>
    <row r="13" spans="1:4" x14ac:dyDescent="0.45">
      <c r="A13" s="10" t="s">
        <v>24</v>
      </c>
      <c r="B13" s="10">
        <f>COUNTIF(Lugares!$E$2:$E$123,A13)</f>
        <v>13</v>
      </c>
      <c r="C13" s="10">
        <f>COUNTIFS(Lugares!$E$2:$E$123,A13,Lugares!$S$2:$S$123,1)</f>
        <v>13</v>
      </c>
      <c r="D13" s="10">
        <f>COUNTIFS(Lugares!$E$2:$E$123,A13,Lugares!$G$2:$G$123,1)</f>
        <v>6</v>
      </c>
    </row>
    <row r="14" spans="1:4" x14ac:dyDescent="0.45">
      <c r="A14" s="10" t="s">
        <v>53</v>
      </c>
      <c r="B14" s="10">
        <f>COUNTIF(Lugares!$E$2:$E$123,A14)</f>
        <v>5</v>
      </c>
      <c r="C14" s="10">
        <f>COUNTIFS(Lugares!$E$2:$E$123,A14,Lugares!$S$2:$S$123,1)</f>
        <v>5</v>
      </c>
      <c r="D14" s="10">
        <f>COUNTIFS(Lugares!$E$2:$E$123,A14,Lugares!$G$2:$G$123,1)</f>
        <v>1</v>
      </c>
    </row>
    <row r="15" spans="1:4" x14ac:dyDescent="0.45">
      <c r="A15" s="10" t="s">
        <v>63</v>
      </c>
      <c r="B15" s="10">
        <f>COUNTIF(Lugares!$E$2:$E$123,A15)</f>
        <v>6</v>
      </c>
      <c r="C15" s="10">
        <f>COUNTIFS(Lugares!$E$2:$E$123,A15,Lugares!$S$2:$S$123,1)</f>
        <v>6</v>
      </c>
      <c r="D15" s="10">
        <f>COUNTIFS(Lugares!$E$2:$E$123,A15,Lugares!$G$2:$G$123,1)</f>
        <v>4</v>
      </c>
    </row>
    <row r="16" spans="1:4" x14ac:dyDescent="0.45">
      <c r="A16" s="10" t="s">
        <v>73</v>
      </c>
      <c r="B16" s="10">
        <f>COUNTIF(Lugares!$E$2:$E$123,A16)</f>
        <v>6</v>
      </c>
      <c r="C16" s="10">
        <f>COUNTIFS(Lugares!$E$2:$E$123,A16,Lugares!$S$2:$S$123,1)</f>
        <v>6</v>
      </c>
      <c r="D16" s="10">
        <f>COUNTIFS(Lugares!$E$2:$E$123,A16,Lugares!$G$2:$G$123,1)</f>
        <v>4</v>
      </c>
    </row>
    <row r="17" spans="1:4" x14ac:dyDescent="0.45">
      <c r="A17" s="10" t="s">
        <v>83</v>
      </c>
      <c r="B17" s="10">
        <f>COUNTIF(Lugares!$E$2:$E$123,A17)</f>
        <v>11</v>
      </c>
      <c r="C17" s="10">
        <f>COUNTIFS(Lugares!$E$2:$E$123,A17,Lugares!$S$2:$S$123,1)</f>
        <v>11</v>
      </c>
      <c r="D17" s="10">
        <f>COUNTIFS(Lugares!$E$2:$E$123,A17,Lugares!$G$2:$G$123,1)</f>
        <v>10</v>
      </c>
    </row>
    <row r="18" spans="1:4" x14ac:dyDescent="0.45">
      <c r="A18" s="10" t="s">
        <v>96</v>
      </c>
      <c r="B18" s="10">
        <f>COUNTIF(Lugares!$E$2:$E$123,A18)</f>
        <v>5</v>
      </c>
      <c r="C18" s="10">
        <f>COUNTIFS(Lugares!$E$2:$E$123,A18,Lugares!$S$2:$S$123,1)</f>
        <v>5</v>
      </c>
      <c r="D18" s="10">
        <f>COUNTIFS(Lugares!$E$2:$E$123,A18,Lugares!$G$2:$G$123,1)</f>
        <v>2</v>
      </c>
    </row>
    <row r="19" spans="1:4" x14ac:dyDescent="0.45">
      <c r="A19" s="10" t="s">
        <v>104</v>
      </c>
      <c r="B19" s="10">
        <f>COUNTIF(Lugares!$E$2:$E$123,A19)</f>
        <v>10</v>
      </c>
      <c r="C19" s="10">
        <f>COUNTIFS(Lugares!$E$2:$E$123,A19,Lugares!$S$2:$S$123,1)</f>
        <v>10</v>
      </c>
      <c r="D19" s="10">
        <f>COUNTIFS(Lugares!$E$2:$E$123,A19,Lugares!$G$2:$G$123,1)</f>
        <v>6</v>
      </c>
    </row>
    <row r="20" spans="1:4" x14ac:dyDescent="0.45">
      <c r="A20" s="10" t="s">
        <v>115</v>
      </c>
      <c r="B20" s="10">
        <f>COUNTIF(Lugares!$E$2:$E$123,A20)</f>
        <v>7</v>
      </c>
      <c r="C20" s="10">
        <f>COUNTIFS(Lugares!$E$2:$E$123,A20,Lugares!$S$2:$S$123,1)</f>
        <v>7</v>
      </c>
      <c r="D20" s="10">
        <f>COUNTIFS(Lugares!$E$2:$E$123,A20,Lugares!$G$2:$G$123,1)</f>
        <v>2</v>
      </c>
    </row>
    <row r="21" spans="1:4" x14ac:dyDescent="0.45">
      <c r="A21" s="10" t="s">
        <v>125</v>
      </c>
      <c r="B21" s="10">
        <f>COUNTIF(Lugares!$E$2:$E$123,A21)</f>
        <v>10</v>
      </c>
      <c r="C21" s="10">
        <f>COUNTIFS(Lugares!$E$2:$E$123,A21,Lugares!$S$2:$S$123,1)</f>
        <v>10</v>
      </c>
      <c r="D21" s="10">
        <f>COUNTIFS(Lugares!$E$2:$E$123,A21,Lugares!$G$2:$G$123,1)</f>
        <v>6</v>
      </c>
    </row>
    <row r="22" spans="1:4" x14ac:dyDescent="0.45">
      <c r="A22" s="10" t="s">
        <v>140</v>
      </c>
      <c r="B22" s="10">
        <f>COUNTIF(Lugares!$E$2:$E$123,A22)</f>
        <v>8</v>
      </c>
      <c r="C22" s="10">
        <f>COUNTIFS(Lugares!$E$2:$E$123,A22,Lugares!$S$2:$S$123,1)</f>
        <v>8</v>
      </c>
      <c r="D22" s="10">
        <f>COUNTIFS(Lugares!$E$2:$E$123,A22,Lugares!$G$2:$G$123,1)</f>
        <v>5</v>
      </c>
    </row>
    <row r="23" spans="1:4" x14ac:dyDescent="0.45">
      <c r="A23" s="10" t="s">
        <v>151</v>
      </c>
      <c r="B23" s="10">
        <f>COUNTIF(Lugares!$E$2:$E$123,A23)</f>
        <v>6</v>
      </c>
      <c r="C23" s="10">
        <f>COUNTIFS(Lugares!$E$2:$E$123,A23,Lugares!$S$2:$S$123,1)</f>
        <v>6</v>
      </c>
      <c r="D23" s="10">
        <f>COUNTIFS(Lugares!$E$2:$E$123,A23,Lugares!$G$2:$G$123,1)</f>
        <v>3</v>
      </c>
    </row>
    <row r="24" spans="1:4" x14ac:dyDescent="0.45">
      <c r="A24" s="10" t="s">
        <v>160</v>
      </c>
      <c r="B24" s="10">
        <f>COUNTIF(Lugares!$E$2:$E$123,A24)</f>
        <v>8</v>
      </c>
      <c r="C24" s="10">
        <f>COUNTIFS(Lugares!$E$2:$E$123,A24,Lugares!$S$2:$S$123,1)</f>
        <v>8</v>
      </c>
      <c r="D24" s="10">
        <f>COUNTIFS(Lugares!$E$2:$E$123,A24,Lugares!$G$2:$G$123,1)</f>
        <v>6</v>
      </c>
    </row>
    <row r="25" spans="1:4" x14ac:dyDescent="0.45">
      <c r="A25" s="10" t="s">
        <v>169</v>
      </c>
      <c r="B25" s="10">
        <f>COUNTIF(Lugares!$E$2:$E$123,A25)</f>
        <v>6</v>
      </c>
      <c r="C25" s="10">
        <f>COUNTIFS(Lugares!$E$2:$E$123,A25,Lugares!$S$2:$S$123,1)</f>
        <v>6</v>
      </c>
      <c r="D25" s="10">
        <f>COUNTIFS(Lugares!$E$2:$E$123,A25,Lugares!$G$2:$G$123,1)</f>
        <v>4</v>
      </c>
    </row>
    <row r="26" spans="1:4" x14ac:dyDescent="0.45">
      <c r="A26" s="10" t="s">
        <v>177</v>
      </c>
      <c r="B26" s="10">
        <f>COUNTIF(Lugares!$E$2:$E$123,A26)</f>
        <v>5</v>
      </c>
      <c r="C26" s="10">
        <f>COUNTIFS(Lugares!$E$2:$E$123,A26,Lugares!$S$2:$S$123,1)</f>
        <v>5</v>
      </c>
      <c r="D26" s="10">
        <f>COUNTIFS(Lugares!$E$2:$E$123,A26,Lugares!$G$2:$G$123,1)</f>
        <v>3</v>
      </c>
    </row>
    <row r="27" spans="1:4" x14ac:dyDescent="0.45">
      <c r="A27" s="10" t="s">
        <v>184</v>
      </c>
      <c r="B27" s="10">
        <f>COUNTIF(Lugares!$E$2:$E$123,A27)</f>
        <v>4</v>
      </c>
      <c r="C27" s="10">
        <f>COUNTIFS(Lugares!$E$2:$E$123,A27,Lugares!$S$2:$S$123,1)</f>
        <v>4</v>
      </c>
      <c r="D27" s="10">
        <f>COUNTIFS(Lugares!$E$2:$E$123,A27,Lugares!$G$2:$G$123,1)</f>
        <v>2</v>
      </c>
    </row>
    <row r="28" spans="1:4" x14ac:dyDescent="0.45">
      <c r="A28" s="10" t="s">
        <v>192</v>
      </c>
      <c r="B28" s="10">
        <f>COUNTIF(Lugares!$E$2:$E$123,A28)</f>
        <v>6</v>
      </c>
      <c r="C28" s="10">
        <f>COUNTIFS(Lugares!$E$2:$E$123,A28,Lugares!$S$2:$S$123,1)</f>
        <v>6</v>
      </c>
      <c r="D28" s="10">
        <f>COUNTIFS(Lugares!$E$2:$E$123,A28,Lugares!$G$2:$G$123,1)</f>
        <v>4</v>
      </c>
    </row>
    <row r="29" spans="1:4" x14ac:dyDescent="0.45">
      <c r="A29" s="10" t="s">
        <v>202</v>
      </c>
      <c r="B29" s="10">
        <f>COUNTIF(Lugares!$E$2:$E$123,A29)</f>
        <v>4</v>
      </c>
      <c r="C29" s="10">
        <f>COUNTIFS(Lugares!$E$2:$E$123,A29,Lugares!$S$2:$S$123,1)</f>
        <v>4</v>
      </c>
      <c r="D29" s="10">
        <f>COUNTIFS(Lugares!$E$2:$E$123,A29,Lugares!$G$2:$G$123,1)</f>
        <v>2</v>
      </c>
    </row>
    <row r="30" spans="1:4" x14ac:dyDescent="0.45">
      <c r="A30" s="10" t="s">
        <v>208</v>
      </c>
      <c r="B30" s="10">
        <f>COUNTIF(Lugares!$E$2:$E$123,A30)</f>
        <v>1</v>
      </c>
      <c r="C30" s="10">
        <f>COUNTIFS(Lugares!$E$2:$E$123,A30,Lugares!$S$2:$S$123,1)</f>
        <v>1</v>
      </c>
      <c r="D30" s="10">
        <f>COUNTIFS(Lugares!$E$2:$E$123,A30,Lugares!$G$2:$G$123,1)</f>
        <v>0</v>
      </c>
    </row>
    <row r="31" spans="1:4" x14ac:dyDescent="0.45">
      <c r="A31" s="10" t="s">
        <v>209</v>
      </c>
      <c r="B31" s="10">
        <f>COUNTIF(Lugares!$E$2:$E$123,A31)</f>
        <v>1</v>
      </c>
      <c r="C31" s="10">
        <f>COUNTIFS(Lugares!$E$2:$E$123,A31,Lugares!$S$2:$S$123,1)</f>
        <v>1</v>
      </c>
      <c r="D31" s="10">
        <f>COUNTIFS(Lugares!$E$2:$E$123,A31,Lugares!$G$2:$G$123,1)</f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2" width="110" customWidth="1"/>
  </cols>
  <sheetData>
    <row r="1" spans="1:4" ht="21" x14ac:dyDescent="0.65">
      <c r="A1" s="16" t="s">
        <v>231</v>
      </c>
      <c r="B1" s="17"/>
      <c r="C1" s="17"/>
      <c r="D1" s="17"/>
    </row>
    <row r="3" spans="1:4" x14ac:dyDescent="0.45">
      <c r="A3" s="12" t="s">
        <v>232</v>
      </c>
      <c r="B3" s="12" t="s">
        <v>233</v>
      </c>
    </row>
    <row r="4" spans="1:4" x14ac:dyDescent="0.45">
      <c r="A4" s="13" t="s">
        <v>234</v>
      </c>
      <c r="B4" s="14" t="s">
        <v>235</v>
      </c>
    </row>
    <row r="5" spans="1:4" x14ac:dyDescent="0.45">
      <c r="A5" s="13" t="s">
        <v>236</v>
      </c>
      <c r="B5" s="14" t="s">
        <v>237</v>
      </c>
    </row>
    <row r="6" spans="1:4" x14ac:dyDescent="0.45">
      <c r="A6" s="13" t="s">
        <v>238</v>
      </c>
      <c r="B6" s="14" t="s">
        <v>239</v>
      </c>
    </row>
    <row r="7" spans="1:4" x14ac:dyDescent="0.45">
      <c r="A7" s="13" t="s">
        <v>240</v>
      </c>
      <c r="B7" s="14" t="s">
        <v>241</v>
      </c>
    </row>
    <row r="8" spans="1:4" x14ac:dyDescent="0.45">
      <c r="A8" s="13" t="s">
        <v>242</v>
      </c>
      <c r="B8" s="14" t="s">
        <v>243</v>
      </c>
    </row>
    <row r="9" spans="1:4" x14ac:dyDescent="0.45">
      <c r="A9" s="13" t="s">
        <v>244</v>
      </c>
      <c r="B9" s="14" t="s">
        <v>245</v>
      </c>
    </row>
    <row r="10" spans="1:4" ht="28.5" x14ac:dyDescent="0.45">
      <c r="A10" s="13" t="s">
        <v>246</v>
      </c>
      <c r="B10" s="14" t="s">
        <v>247</v>
      </c>
    </row>
    <row r="11" spans="1:4" x14ac:dyDescent="0.45">
      <c r="A11" s="13" t="s">
        <v>248</v>
      </c>
      <c r="B11" s="14" t="s">
        <v>249</v>
      </c>
    </row>
    <row r="14" spans="1:4" x14ac:dyDescent="0.45">
      <c r="A14" s="12" t="s">
        <v>250</v>
      </c>
    </row>
    <row r="15" spans="1:4" x14ac:dyDescent="0.45">
      <c r="A15" t="s">
        <v>251</v>
      </c>
      <c r="B15" s="15" t="s">
        <v>29</v>
      </c>
    </row>
    <row r="16" spans="1:4" x14ac:dyDescent="0.45">
      <c r="A16" t="s">
        <v>252</v>
      </c>
      <c r="B16" s="15" t="s">
        <v>30</v>
      </c>
    </row>
    <row r="17" spans="1:2" x14ac:dyDescent="0.45">
      <c r="A17" t="s">
        <v>253</v>
      </c>
      <c r="B17" s="15" t="s">
        <v>254</v>
      </c>
    </row>
  </sheetData>
  <mergeCells count="1">
    <mergeCell ref="A1:D1"/>
  </mergeCells>
  <hyperlinks>
    <hyperlink ref="B15" r:id="rId1" xr:uid="{00000000-0004-0000-0300-000000000000}"/>
    <hyperlink ref="B16" r:id="rId2" xr:uid="{00000000-0004-0000-0300-000001000000}"/>
    <hyperlink ref="B17" r:id="rId3" xr:uid="{00000000-0004-0000-03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Lugares</vt:lpstr>
      <vt:lpstr>Listas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Zamudio</cp:lastModifiedBy>
  <dcterms:created xsi:type="dcterms:W3CDTF">2026-08-05T15:15:07Z</dcterms:created>
  <dcterms:modified xsi:type="dcterms:W3CDTF">2026-08-05T15:17:56Z</dcterms:modified>
</cp:coreProperties>
</file>